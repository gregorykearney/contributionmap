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ermont/"/>
    </mc:Choice>
  </mc:AlternateContent>
  <xr:revisionPtr revIDLastSave="0" documentId="13_ncr:1_{A618BC2D-8F46-7D4F-B90E-C9A3FABE27CF}" xr6:coauthVersionLast="47" xr6:coauthVersionMax="47" xr10:uidLastSave="{00000000-0000-0000-0000-000000000000}"/>
  <bookViews>
    <workbookView xWindow="180" yWindow="780" windowWidth="28240" windowHeight="19520" xr2:uid="{EC38FE40-3679-F145-8FF4-FFFFB6C40854}"/>
  </bookViews>
  <sheets>
    <sheet name="Summary" sheetId="11" r:id="rId1"/>
    <sheet name="GASB 68 Data --&gt;" sheetId="4" r:id="rId2"/>
    <sheet name="2015" sheetId="2" r:id="rId3"/>
    <sheet name="2016" sheetId="3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NCES Data --&gt;" sheetId="13" r:id="rId11"/>
    <sheet name="Combining LEAID" sheetId="16" r:id="rId12"/>
    <sheet name="LEAID Match" sheetId="14" r:id="rId13"/>
  </sheets>
  <definedNames>
    <definedName name="_xlnm._FilterDatabase" localSheetId="9" hidden="1">'2022'!$B$1:$J$1</definedName>
    <definedName name="_xlnm._FilterDatabase" localSheetId="11" hidden="1">'Combining LEAID'!$A$1:$GN$1</definedName>
    <definedName name="_xlnm._FilterDatabase" localSheetId="12" hidden="1">'LEAID Match'!$A$1:$A$214</definedName>
    <definedName name="_xlnm._FilterDatabase" localSheetId="0" hidden="1">Summary!$A$1:$E$1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6" i="11" l="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705" i="11"/>
  <c r="E3" i="11"/>
  <c r="E4" i="11"/>
  <c r="E5" i="11"/>
  <c r="E6" i="11"/>
  <c r="E7" i="11"/>
  <c r="E8" i="11"/>
  <c r="E9" i="11"/>
  <c r="E10" i="11"/>
  <c r="E11" i="11"/>
  <c r="E12" i="11"/>
  <c r="E13" i="11"/>
  <c r="E937" i="11"/>
  <c r="E938" i="11"/>
  <c r="E939" i="11"/>
  <c r="E940" i="11"/>
  <c r="E941" i="11"/>
  <c r="E942" i="11"/>
  <c r="E943" i="11"/>
  <c r="E944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929" i="11"/>
  <c r="E930" i="11"/>
  <c r="E931" i="11"/>
  <c r="E932" i="11"/>
  <c r="E933" i="11"/>
  <c r="E934" i="11"/>
  <c r="E935" i="11"/>
  <c r="E936" i="11"/>
  <c r="E2169" i="11"/>
  <c r="E2170" i="11"/>
  <c r="E2171" i="11"/>
  <c r="E2172" i="11"/>
  <c r="E2173" i="11"/>
  <c r="E2174" i="11"/>
  <c r="E2175" i="11"/>
  <c r="E2176" i="11"/>
  <c r="E2161" i="11"/>
  <c r="E2162" i="11"/>
  <c r="E2163" i="11"/>
  <c r="E2164" i="11"/>
  <c r="E2165" i="11"/>
  <c r="E2166" i="11"/>
  <c r="E2167" i="11"/>
  <c r="E2168" i="11"/>
  <c r="E2153" i="11"/>
  <c r="E2154" i="11"/>
  <c r="E2155" i="11"/>
  <c r="E2156" i="11"/>
  <c r="E2157" i="11"/>
  <c r="E2158" i="11"/>
  <c r="E2159" i="11"/>
  <c r="E2160" i="11"/>
  <c r="E2145" i="11"/>
  <c r="E2146" i="11"/>
  <c r="E2147" i="11"/>
  <c r="E2148" i="11"/>
  <c r="E2149" i="11"/>
  <c r="E2150" i="11"/>
  <c r="E2151" i="11"/>
  <c r="E2152" i="11"/>
  <c r="E26" i="11"/>
  <c r="E27" i="11"/>
  <c r="E28" i="11"/>
  <c r="E29" i="11"/>
  <c r="E30" i="11"/>
  <c r="E2137" i="11"/>
  <c r="E2138" i="11"/>
  <c r="E2139" i="11"/>
  <c r="E2140" i="11"/>
  <c r="E2141" i="11"/>
  <c r="E2142" i="11"/>
  <c r="E2143" i="11"/>
  <c r="E2144" i="11"/>
  <c r="E2129" i="11"/>
  <c r="E2130" i="11"/>
  <c r="E2131" i="11"/>
  <c r="E2132" i="11"/>
  <c r="E2133" i="11"/>
  <c r="E2134" i="11"/>
  <c r="E2135" i="11"/>
  <c r="E2136" i="11"/>
  <c r="E2121" i="11"/>
  <c r="E2122" i="11"/>
  <c r="E2123" i="11"/>
  <c r="E2124" i="11"/>
  <c r="E2125" i="11"/>
  <c r="E2126" i="11"/>
  <c r="E2127" i="11"/>
  <c r="E2128" i="11"/>
  <c r="E2113" i="11"/>
  <c r="E2114" i="11"/>
  <c r="E2115" i="11"/>
  <c r="E2116" i="11"/>
  <c r="E2117" i="11"/>
  <c r="E2118" i="11"/>
  <c r="E2119" i="11"/>
  <c r="E2120" i="11"/>
  <c r="E2241" i="11"/>
  <c r="E2242" i="11"/>
  <c r="E2243" i="11"/>
  <c r="E2244" i="11"/>
  <c r="E2245" i="11"/>
  <c r="E2246" i="11"/>
  <c r="E2247" i="11"/>
  <c r="E2248" i="11"/>
  <c r="E2105" i="11"/>
  <c r="E2106" i="11"/>
  <c r="E2107" i="11"/>
  <c r="E2108" i="11"/>
  <c r="E2109" i="11"/>
  <c r="E2110" i="11"/>
  <c r="E2111" i="11"/>
  <c r="E2112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2097" i="11"/>
  <c r="E2098" i="11"/>
  <c r="E2099" i="11"/>
  <c r="E2100" i="11"/>
  <c r="E2101" i="11"/>
  <c r="E2102" i="11"/>
  <c r="E2103" i="11"/>
  <c r="E2104" i="11"/>
  <c r="E46" i="11"/>
  <c r="E47" i="11"/>
  <c r="E48" i="11"/>
  <c r="E49" i="11"/>
  <c r="E50" i="11"/>
  <c r="E51" i="11"/>
  <c r="E52" i="11"/>
  <c r="E2089" i="11"/>
  <c r="E2090" i="11"/>
  <c r="E2091" i="11"/>
  <c r="E2092" i="11"/>
  <c r="E2093" i="11"/>
  <c r="E2094" i="11"/>
  <c r="E2095" i="11"/>
  <c r="E2096" i="11"/>
  <c r="E913" i="11"/>
  <c r="E914" i="11"/>
  <c r="E915" i="11"/>
  <c r="E916" i="11"/>
  <c r="E917" i="11"/>
  <c r="E918" i="11"/>
  <c r="E919" i="11"/>
  <c r="E920" i="11"/>
  <c r="E2081" i="11"/>
  <c r="E2082" i="11"/>
  <c r="E2083" i="11"/>
  <c r="E2084" i="11"/>
  <c r="E2085" i="11"/>
  <c r="E2086" i="11"/>
  <c r="E2087" i="11"/>
  <c r="E2088" i="11"/>
  <c r="E2073" i="11"/>
  <c r="E2074" i="11"/>
  <c r="E2075" i="11"/>
  <c r="E2076" i="11"/>
  <c r="E2077" i="11"/>
  <c r="E2078" i="11"/>
  <c r="E2079" i="11"/>
  <c r="E2080" i="11"/>
  <c r="E2065" i="11"/>
  <c r="E2066" i="11"/>
  <c r="E2067" i="11"/>
  <c r="E2068" i="11"/>
  <c r="E2069" i="11"/>
  <c r="E2070" i="11"/>
  <c r="E2071" i="11"/>
  <c r="E2072" i="11"/>
  <c r="E2057" i="11"/>
  <c r="E2058" i="11"/>
  <c r="E2059" i="11"/>
  <c r="E2060" i="11"/>
  <c r="E2061" i="11"/>
  <c r="E2062" i="11"/>
  <c r="E2063" i="11"/>
  <c r="E2064" i="11"/>
  <c r="E1153" i="11"/>
  <c r="E1154" i="11"/>
  <c r="E1155" i="11"/>
  <c r="E1156" i="11"/>
  <c r="E1157" i="11"/>
  <c r="E1158" i="11"/>
  <c r="E1159" i="11"/>
  <c r="E1160" i="11"/>
  <c r="E53" i="11"/>
  <c r="E54" i="11"/>
  <c r="E55" i="11"/>
  <c r="E56" i="11"/>
  <c r="E57" i="11"/>
  <c r="E2049" i="11"/>
  <c r="E2050" i="11"/>
  <c r="E2051" i="11"/>
  <c r="E2052" i="11"/>
  <c r="E2053" i="11"/>
  <c r="E2054" i="11"/>
  <c r="E2055" i="11"/>
  <c r="E2056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2041" i="11"/>
  <c r="E2042" i="11"/>
  <c r="E2043" i="11"/>
  <c r="E2044" i="11"/>
  <c r="E2045" i="11"/>
  <c r="E2046" i="11"/>
  <c r="E2047" i="11"/>
  <c r="E2048" i="11"/>
  <c r="E2033" i="11"/>
  <c r="E2034" i="11"/>
  <c r="E2035" i="11"/>
  <c r="E2036" i="11"/>
  <c r="E2037" i="11"/>
  <c r="E2038" i="11"/>
  <c r="E2039" i="11"/>
  <c r="E204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2025" i="11"/>
  <c r="E2026" i="11"/>
  <c r="E2027" i="11"/>
  <c r="E2028" i="11"/>
  <c r="E2029" i="11"/>
  <c r="E2030" i="11"/>
  <c r="E2031" i="11"/>
  <c r="E2032" i="11"/>
  <c r="E2017" i="11"/>
  <c r="E2018" i="11"/>
  <c r="E2019" i="11"/>
  <c r="E2020" i="11"/>
  <c r="E2021" i="11"/>
  <c r="E2022" i="11"/>
  <c r="E2023" i="11"/>
  <c r="E2024" i="11"/>
  <c r="E83" i="11"/>
  <c r="E84" i="11"/>
  <c r="E85" i="11"/>
  <c r="E86" i="11"/>
  <c r="E87" i="11"/>
  <c r="E88" i="11"/>
  <c r="E89" i="11"/>
  <c r="E2009" i="11"/>
  <c r="E2010" i="11"/>
  <c r="E2011" i="11"/>
  <c r="E2012" i="11"/>
  <c r="E2013" i="11"/>
  <c r="E2014" i="11"/>
  <c r="E2015" i="11"/>
  <c r="E2016" i="11"/>
  <c r="E2001" i="11"/>
  <c r="E2002" i="11"/>
  <c r="E2003" i="11"/>
  <c r="E2004" i="11"/>
  <c r="E2005" i="11"/>
  <c r="E2006" i="11"/>
  <c r="E2007" i="11"/>
  <c r="E2008" i="11"/>
  <c r="E1993" i="11"/>
  <c r="E1994" i="11"/>
  <c r="E1995" i="11"/>
  <c r="E1996" i="11"/>
  <c r="E1997" i="11"/>
  <c r="E1998" i="11"/>
  <c r="E1999" i="11"/>
  <c r="E2000" i="11"/>
  <c r="E2273" i="11"/>
  <c r="E2274" i="11"/>
  <c r="E2275" i="11"/>
  <c r="E2276" i="11"/>
  <c r="E2277" i="11"/>
  <c r="E2278" i="11"/>
  <c r="E2279" i="11"/>
  <c r="E2280" i="11"/>
  <c r="E1985" i="11"/>
  <c r="E1986" i="11"/>
  <c r="E1987" i="11"/>
  <c r="E1988" i="11"/>
  <c r="E1989" i="11"/>
  <c r="E1990" i="11"/>
  <c r="E1991" i="11"/>
  <c r="E1992" i="11"/>
  <c r="E1977" i="11"/>
  <c r="E1978" i="11"/>
  <c r="E1979" i="11"/>
  <c r="E1980" i="11"/>
  <c r="E1981" i="11"/>
  <c r="E1982" i="11"/>
  <c r="E1983" i="11"/>
  <c r="E1984" i="11"/>
  <c r="E897" i="11"/>
  <c r="E898" i="11"/>
  <c r="E899" i="11"/>
  <c r="E900" i="11"/>
  <c r="E901" i="11"/>
  <c r="E902" i="11"/>
  <c r="E903" i="11"/>
  <c r="E904" i="11"/>
  <c r="E90" i="11"/>
  <c r="E91" i="11"/>
  <c r="E92" i="11"/>
  <c r="E93" i="11"/>
  <c r="E905" i="11"/>
  <c r="E906" i="11"/>
  <c r="E907" i="11"/>
  <c r="E908" i="11"/>
  <c r="E909" i="11"/>
  <c r="E910" i="11"/>
  <c r="E911" i="11"/>
  <c r="E912" i="11"/>
  <c r="E1969" i="11"/>
  <c r="E1970" i="11"/>
  <c r="E1971" i="11"/>
  <c r="E1972" i="11"/>
  <c r="E1973" i="11"/>
  <c r="E1974" i="11"/>
  <c r="E1975" i="11"/>
  <c r="E1976" i="11"/>
  <c r="E1961" i="11"/>
  <c r="E1962" i="11"/>
  <c r="E1963" i="11"/>
  <c r="E1964" i="11"/>
  <c r="E1965" i="11"/>
  <c r="E1966" i="11"/>
  <c r="E1967" i="11"/>
  <c r="E1968" i="11"/>
  <c r="E2265" i="11"/>
  <c r="E2266" i="11"/>
  <c r="E2267" i="11"/>
  <c r="E2268" i="11"/>
  <c r="E2269" i="11"/>
  <c r="E2270" i="11"/>
  <c r="E2271" i="11"/>
  <c r="E2272" i="11"/>
  <c r="E1953" i="11"/>
  <c r="E1954" i="11"/>
  <c r="E1955" i="11"/>
  <c r="E1956" i="11"/>
  <c r="E1957" i="11"/>
  <c r="E1958" i="11"/>
  <c r="E1959" i="11"/>
  <c r="E1960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945" i="11"/>
  <c r="E1946" i="11"/>
  <c r="E1947" i="11"/>
  <c r="E1948" i="11"/>
  <c r="E1949" i="11"/>
  <c r="E1950" i="11"/>
  <c r="E1951" i="11"/>
  <c r="E1952" i="11"/>
  <c r="E113" i="11"/>
  <c r="E114" i="11"/>
  <c r="E115" i="11"/>
  <c r="E116" i="11"/>
  <c r="E117" i="11"/>
  <c r="E118" i="11"/>
  <c r="E119" i="11"/>
  <c r="E1937" i="11"/>
  <c r="E1938" i="11"/>
  <c r="E1939" i="11"/>
  <c r="E1940" i="11"/>
  <c r="E1941" i="11"/>
  <c r="E1942" i="11"/>
  <c r="E1943" i="11"/>
  <c r="E1944" i="11"/>
  <c r="E120" i="11"/>
  <c r="E121" i="11"/>
  <c r="E122" i="11"/>
  <c r="E123" i="11"/>
  <c r="E124" i="11"/>
  <c r="E125" i="11"/>
  <c r="E126" i="11"/>
  <c r="E881" i="11"/>
  <c r="E882" i="11"/>
  <c r="E883" i="11"/>
  <c r="E884" i="11"/>
  <c r="E885" i="11"/>
  <c r="E886" i="11"/>
  <c r="E887" i="11"/>
  <c r="E888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929" i="11"/>
  <c r="E1930" i="11"/>
  <c r="E1931" i="11"/>
  <c r="E1932" i="11"/>
  <c r="E1933" i="11"/>
  <c r="E1934" i="11"/>
  <c r="E1935" i="11"/>
  <c r="E1936" i="11"/>
  <c r="E1921" i="11"/>
  <c r="E1922" i="11"/>
  <c r="E1923" i="11"/>
  <c r="E1924" i="11"/>
  <c r="E1925" i="11"/>
  <c r="E1926" i="11"/>
  <c r="E1927" i="11"/>
  <c r="E1928" i="11"/>
  <c r="E140" i="11"/>
  <c r="E141" i="11"/>
  <c r="E142" i="11"/>
  <c r="E143" i="11"/>
  <c r="E144" i="11"/>
  <c r="E145" i="11"/>
  <c r="E146" i="11"/>
  <c r="E1913" i="11"/>
  <c r="E1914" i="11"/>
  <c r="E1915" i="11"/>
  <c r="E1916" i="11"/>
  <c r="E1917" i="11"/>
  <c r="E1918" i="11"/>
  <c r="E1919" i="11"/>
  <c r="E1920" i="11"/>
  <c r="E1905" i="11"/>
  <c r="E1906" i="11"/>
  <c r="E1907" i="11"/>
  <c r="E1908" i="11"/>
  <c r="E1909" i="11"/>
  <c r="E1910" i="11"/>
  <c r="E1911" i="11"/>
  <c r="E1912" i="11"/>
  <c r="E1897" i="11"/>
  <c r="E1898" i="11"/>
  <c r="E1899" i="11"/>
  <c r="E1900" i="11"/>
  <c r="E1901" i="11"/>
  <c r="E1902" i="11"/>
  <c r="E1903" i="11"/>
  <c r="E1904" i="11"/>
  <c r="E147" i="11"/>
  <c r="E148" i="11"/>
  <c r="E149" i="11"/>
  <c r="E15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1889" i="11"/>
  <c r="E1890" i="11"/>
  <c r="E1891" i="11"/>
  <c r="E1892" i="11"/>
  <c r="E1893" i="11"/>
  <c r="E1894" i="11"/>
  <c r="E1895" i="11"/>
  <c r="E1896" i="11"/>
  <c r="E1881" i="11"/>
  <c r="E1882" i="11"/>
  <c r="E1883" i="11"/>
  <c r="E1884" i="11"/>
  <c r="E1885" i="11"/>
  <c r="E1886" i="11"/>
  <c r="E1887" i="11"/>
  <c r="E1888" i="11"/>
  <c r="E1873" i="11"/>
  <c r="E1874" i="11"/>
  <c r="E1875" i="11"/>
  <c r="E1876" i="11"/>
  <c r="E1877" i="11"/>
  <c r="E1878" i="11"/>
  <c r="E1879" i="11"/>
  <c r="E1880" i="11"/>
  <c r="E1865" i="11"/>
  <c r="E1866" i="11"/>
  <c r="E1867" i="11"/>
  <c r="E1868" i="11"/>
  <c r="E1869" i="11"/>
  <c r="E1870" i="11"/>
  <c r="E1871" i="11"/>
  <c r="E1872" i="11"/>
  <c r="E1857" i="11"/>
  <c r="E1858" i="11"/>
  <c r="E1859" i="11"/>
  <c r="E1860" i="11"/>
  <c r="E1861" i="11"/>
  <c r="E1862" i="11"/>
  <c r="E1863" i="11"/>
  <c r="E1864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849" i="11"/>
  <c r="E1850" i="11"/>
  <c r="E1851" i="11"/>
  <c r="E1852" i="11"/>
  <c r="E1853" i="11"/>
  <c r="E1854" i="11"/>
  <c r="E1855" i="11"/>
  <c r="E1856" i="11"/>
  <c r="E174" i="11"/>
  <c r="E175" i="11"/>
  <c r="E176" i="11"/>
  <c r="E873" i="11"/>
  <c r="E874" i="11"/>
  <c r="E875" i="11"/>
  <c r="E876" i="11"/>
  <c r="E877" i="11"/>
  <c r="E878" i="11"/>
  <c r="E879" i="11"/>
  <c r="E880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841" i="11"/>
  <c r="E1842" i="11"/>
  <c r="E1843" i="11"/>
  <c r="E1844" i="11"/>
  <c r="E1845" i="11"/>
  <c r="E1846" i="11"/>
  <c r="E1847" i="11"/>
  <c r="E1848" i="11"/>
  <c r="E191" i="11"/>
  <c r="E192" i="11"/>
  <c r="E193" i="11"/>
  <c r="E194" i="11"/>
  <c r="E195" i="11"/>
  <c r="E1833" i="11"/>
  <c r="E1834" i="11"/>
  <c r="E1835" i="11"/>
  <c r="E1836" i="11"/>
  <c r="E1837" i="11"/>
  <c r="E1838" i="11"/>
  <c r="E1839" i="11"/>
  <c r="E1840" i="11"/>
  <c r="E1825" i="11"/>
  <c r="E1826" i="11"/>
  <c r="E1827" i="11"/>
  <c r="E1828" i="11"/>
  <c r="E1829" i="11"/>
  <c r="E1830" i="11"/>
  <c r="E1831" i="11"/>
  <c r="E1832" i="11"/>
  <c r="E1817" i="11"/>
  <c r="E1818" i="11"/>
  <c r="E1819" i="11"/>
  <c r="E1820" i="11"/>
  <c r="E1821" i="11"/>
  <c r="E1822" i="11"/>
  <c r="E1823" i="11"/>
  <c r="E1824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1809" i="11"/>
  <c r="E1810" i="11"/>
  <c r="E1811" i="11"/>
  <c r="E1812" i="11"/>
  <c r="E1813" i="11"/>
  <c r="E1814" i="11"/>
  <c r="E1815" i="11"/>
  <c r="E1816" i="11"/>
  <c r="E221" i="11"/>
  <c r="E222" i="11"/>
  <c r="E223" i="11"/>
  <c r="E224" i="11"/>
  <c r="E225" i="11"/>
  <c r="E226" i="11"/>
  <c r="E227" i="11"/>
  <c r="E849" i="11"/>
  <c r="E850" i="11"/>
  <c r="E851" i="11"/>
  <c r="E852" i="11"/>
  <c r="E853" i="11"/>
  <c r="E854" i="11"/>
  <c r="E855" i="11"/>
  <c r="E856" i="11"/>
  <c r="E865" i="11"/>
  <c r="E866" i="11"/>
  <c r="E867" i="11"/>
  <c r="E868" i="11"/>
  <c r="E869" i="11"/>
  <c r="E870" i="11"/>
  <c r="E871" i="11"/>
  <c r="E872" i="11"/>
  <c r="E1801" i="11"/>
  <c r="E1802" i="11"/>
  <c r="E1803" i="11"/>
  <c r="E1804" i="11"/>
  <c r="E1805" i="11"/>
  <c r="E1806" i="11"/>
  <c r="E1807" i="11"/>
  <c r="E1808" i="11"/>
  <c r="E857" i="11"/>
  <c r="E858" i="11"/>
  <c r="E859" i="11"/>
  <c r="E860" i="11"/>
  <c r="E861" i="11"/>
  <c r="E862" i="11"/>
  <c r="E863" i="11"/>
  <c r="E864" i="11"/>
  <c r="E1793" i="11"/>
  <c r="E1794" i="11"/>
  <c r="E1795" i="11"/>
  <c r="E1796" i="11"/>
  <c r="E1797" i="11"/>
  <c r="E1798" i="11"/>
  <c r="E1799" i="11"/>
  <c r="E1800" i="11"/>
  <c r="E1785" i="11"/>
  <c r="E1786" i="11"/>
  <c r="E1787" i="11"/>
  <c r="E1788" i="11"/>
  <c r="E1789" i="11"/>
  <c r="E1790" i="11"/>
  <c r="E1791" i="11"/>
  <c r="E1792" i="11"/>
  <c r="E1777" i="11"/>
  <c r="E1778" i="11"/>
  <c r="E1779" i="11"/>
  <c r="E1780" i="11"/>
  <c r="E1781" i="11"/>
  <c r="E1782" i="11"/>
  <c r="E1783" i="11"/>
  <c r="E1784" i="11"/>
  <c r="E1769" i="11"/>
  <c r="E1770" i="11"/>
  <c r="E1771" i="11"/>
  <c r="E1772" i="11"/>
  <c r="E1773" i="11"/>
  <c r="E1774" i="11"/>
  <c r="E1775" i="11"/>
  <c r="E1776" i="11"/>
  <c r="E841" i="11"/>
  <c r="E842" i="11"/>
  <c r="E843" i="11"/>
  <c r="E844" i="11"/>
  <c r="E845" i="11"/>
  <c r="E846" i="11"/>
  <c r="E847" i="11"/>
  <c r="E848" i="11"/>
  <c r="E228" i="11"/>
  <c r="E229" i="11"/>
  <c r="E230" i="11"/>
  <c r="E231" i="11"/>
  <c r="E1105" i="11"/>
  <c r="E1106" i="11"/>
  <c r="E1107" i="11"/>
  <c r="E1108" i="11"/>
  <c r="E1109" i="11"/>
  <c r="E1110" i="11"/>
  <c r="E1111" i="11"/>
  <c r="E1112" i="11"/>
  <c r="E232" i="11"/>
  <c r="E233" i="11"/>
  <c r="E234" i="11"/>
  <c r="E235" i="11"/>
  <c r="E236" i="11"/>
  <c r="E237" i="11"/>
  <c r="E238" i="11"/>
  <c r="E239" i="11"/>
  <c r="E240" i="11"/>
  <c r="E241" i="11"/>
  <c r="E1761" i="11"/>
  <c r="E1762" i="11"/>
  <c r="E1763" i="11"/>
  <c r="E1764" i="11"/>
  <c r="E1765" i="11"/>
  <c r="E1766" i="11"/>
  <c r="E1767" i="11"/>
  <c r="E1768" i="11"/>
  <c r="E1753" i="11"/>
  <c r="E1754" i="11"/>
  <c r="E1755" i="11"/>
  <c r="E1756" i="11"/>
  <c r="E1757" i="11"/>
  <c r="E1758" i="11"/>
  <c r="E1759" i="11"/>
  <c r="E1760" i="11"/>
  <c r="E2297" i="11"/>
  <c r="E2298" i="11"/>
  <c r="E2299" i="11"/>
  <c r="E2300" i="11"/>
  <c r="E2301" i="11"/>
  <c r="E2302" i="11"/>
  <c r="E2303" i="11"/>
  <c r="E2304" i="11"/>
  <c r="E1745" i="11"/>
  <c r="E1746" i="11"/>
  <c r="E1747" i="11"/>
  <c r="E1748" i="11"/>
  <c r="E1749" i="11"/>
  <c r="E1750" i="11"/>
  <c r="E1751" i="11"/>
  <c r="E1752" i="11"/>
  <c r="E1729" i="11"/>
  <c r="E1730" i="11"/>
  <c r="E1731" i="11"/>
  <c r="E1732" i="11"/>
  <c r="E1733" i="11"/>
  <c r="E1734" i="11"/>
  <c r="E1735" i="11"/>
  <c r="E1736" i="11"/>
  <c r="E1721" i="11"/>
  <c r="E1722" i="11"/>
  <c r="E1723" i="11"/>
  <c r="E1724" i="11"/>
  <c r="E1725" i="11"/>
  <c r="E1726" i="11"/>
  <c r="E1727" i="11"/>
  <c r="E1728" i="11"/>
  <c r="E242" i="11"/>
  <c r="E243" i="11"/>
  <c r="E244" i="11"/>
  <c r="E245" i="11"/>
  <c r="E246" i="11"/>
  <c r="E1737" i="11"/>
  <c r="E1738" i="11"/>
  <c r="E1739" i="11"/>
  <c r="E1740" i="11"/>
  <c r="E1741" i="11"/>
  <c r="E1742" i="11"/>
  <c r="E1743" i="11"/>
  <c r="E1744" i="11"/>
  <c r="E1121" i="11"/>
  <c r="E1122" i="11"/>
  <c r="E1123" i="11"/>
  <c r="E1124" i="11"/>
  <c r="E1125" i="11"/>
  <c r="E1126" i="11"/>
  <c r="E1127" i="11"/>
  <c r="E1128" i="11"/>
  <c r="E1713" i="11"/>
  <c r="E1714" i="11"/>
  <c r="E1715" i="11"/>
  <c r="E1716" i="11"/>
  <c r="E1717" i="11"/>
  <c r="E1718" i="11"/>
  <c r="E1719" i="11"/>
  <c r="E1720" i="11"/>
  <c r="E247" i="11"/>
  <c r="E248" i="11"/>
  <c r="E249" i="11"/>
  <c r="E250" i="11"/>
  <c r="E251" i="11"/>
  <c r="E252" i="11"/>
  <c r="E253" i="11"/>
  <c r="E1705" i="11"/>
  <c r="E1706" i="11"/>
  <c r="E1707" i="11"/>
  <c r="E1708" i="11"/>
  <c r="E1709" i="11"/>
  <c r="E1710" i="11"/>
  <c r="E1711" i="11"/>
  <c r="E1712" i="11"/>
  <c r="E1697" i="11"/>
  <c r="E1698" i="11"/>
  <c r="E1699" i="11"/>
  <c r="E1700" i="11"/>
  <c r="E1701" i="11"/>
  <c r="E1702" i="11"/>
  <c r="E1703" i="11"/>
  <c r="E1704" i="11"/>
  <c r="E254" i="11"/>
  <c r="E255" i="11"/>
  <c r="E256" i="11"/>
  <c r="E257" i="11"/>
  <c r="E258" i="11"/>
  <c r="E259" i="11"/>
  <c r="E260" i="11"/>
  <c r="E1689" i="11"/>
  <c r="E1690" i="11"/>
  <c r="E1691" i="11"/>
  <c r="E1692" i="11"/>
  <c r="E1693" i="11"/>
  <c r="E1694" i="11"/>
  <c r="E1695" i="11"/>
  <c r="E1696" i="11"/>
  <c r="E1681" i="11"/>
  <c r="E1682" i="11"/>
  <c r="E1683" i="11"/>
  <c r="E1684" i="11"/>
  <c r="E1685" i="11"/>
  <c r="E1686" i="11"/>
  <c r="E1687" i="11"/>
  <c r="E1688" i="11"/>
  <c r="E1673" i="11"/>
  <c r="E1674" i="11"/>
  <c r="E1675" i="11"/>
  <c r="E1676" i="11"/>
  <c r="E1677" i="11"/>
  <c r="E1678" i="11"/>
  <c r="E1679" i="11"/>
  <c r="E1680" i="11"/>
  <c r="E1665" i="11"/>
  <c r="E1666" i="11"/>
  <c r="E1667" i="11"/>
  <c r="E1668" i="11"/>
  <c r="E1669" i="11"/>
  <c r="E1670" i="11"/>
  <c r="E1671" i="11"/>
  <c r="E1672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1657" i="11"/>
  <c r="E1658" i="11"/>
  <c r="E1659" i="11"/>
  <c r="E1660" i="11"/>
  <c r="E1661" i="11"/>
  <c r="E1662" i="11"/>
  <c r="E1663" i="11"/>
  <c r="E1664" i="11"/>
  <c r="E277" i="11"/>
  <c r="E278" i="11"/>
  <c r="E279" i="11"/>
  <c r="E2249" i="11"/>
  <c r="E2250" i="11"/>
  <c r="E2251" i="11"/>
  <c r="E2252" i="11"/>
  <c r="E2253" i="11"/>
  <c r="E2254" i="11"/>
  <c r="E2255" i="11"/>
  <c r="E2256" i="11"/>
  <c r="E280" i="11"/>
  <c r="E281" i="11"/>
  <c r="E282" i="11"/>
  <c r="E283" i="11"/>
  <c r="E284" i="11"/>
  <c r="E833" i="11"/>
  <c r="E834" i="11"/>
  <c r="E835" i="11"/>
  <c r="E836" i="11"/>
  <c r="E837" i="11"/>
  <c r="E838" i="11"/>
  <c r="E839" i="11"/>
  <c r="E840" i="11"/>
  <c r="E825" i="11"/>
  <c r="E826" i="11"/>
  <c r="E827" i="11"/>
  <c r="E828" i="11"/>
  <c r="E829" i="11"/>
  <c r="E830" i="11"/>
  <c r="E831" i="11"/>
  <c r="E832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1649" i="11"/>
  <c r="E1650" i="11"/>
  <c r="E1651" i="11"/>
  <c r="E1652" i="11"/>
  <c r="E1653" i="11"/>
  <c r="E1654" i="11"/>
  <c r="E1655" i="11"/>
  <c r="E1656" i="11"/>
  <c r="E1641" i="11"/>
  <c r="E1642" i="11"/>
  <c r="E1643" i="11"/>
  <c r="E1644" i="11"/>
  <c r="E1645" i="11"/>
  <c r="E1646" i="11"/>
  <c r="E1647" i="11"/>
  <c r="E1648" i="11"/>
  <c r="E1633" i="11"/>
  <c r="E1634" i="11"/>
  <c r="E1635" i="11"/>
  <c r="E1636" i="11"/>
  <c r="E1637" i="11"/>
  <c r="E1638" i="11"/>
  <c r="E1639" i="11"/>
  <c r="E1640" i="11"/>
  <c r="E301" i="11"/>
  <c r="E302" i="11"/>
  <c r="E303" i="11"/>
  <c r="E304" i="11"/>
  <c r="E1625" i="11"/>
  <c r="E1626" i="11"/>
  <c r="E1627" i="11"/>
  <c r="E1628" i="11"/>
  <c r="E1629" i="11"/>
  <c r="E1630" i="11"/>
  <c r="E1631" i="11"/>
  <c r="E1632" i="11"/>
  <c r="E1617" i="11"/>
  <c r="E1618" i="11"/>
  <c r="E1619" i="11"/>
  <c r="E1620" i="11"/>
  <c r="E1621" i="11"/>
  <c r="E1622" i="11"/>
  <c r="E1623" i="11"/>
  <c r="E1624" i="11"/>
  <c r="E2305" i="11"/>
  <c r="E2306" i="11"/>
  <c r="E2307" i="11"/>
  <c r="E2308" i="11"/>
  <c r="E2309" i="11"/>
  <c r="E2310" i="11"/>
  <c r="E2311" i="11"/>
  <c r="E2312" i="11"/>
  <c r="E1609" i="11"/>
  <c r="E1610" i="11"/>
  <c r="E1611" i="11"/>
  <c r="E1612" i="11"/>
  <c r="E1613" i="11"/>
  <c r="E1614" i="11"/>
  <c r="E1615" i="11"/>
  <c r="E1616" i="11"/>
  <c r="E1601" i="11"/>
  <c r="E1602" i="11"/>
  <c r="E1603" i="11"/>
  <c r="E1604" i="11"/>
  <c r="E1605" i="11"/>
  <c r="E1606" i="11"/>
  <c r="E1607" i="11"/>
  <c r="E1608" i="11"/>
  <c r="E305" i="11"/>
  <c r="E306" i="11"/>
  <c r="E307" i="11"/>
  <c r="E308" i="11"/>
  <c r="E309" i="11"/>
  <c r="E1593" i="11"/>
  <c r="E1594" i="11"/>
  <c r="E1595" i="11"/>
  <c r="E1596" i="11"/>
  <c r="E1597" i="11"/>
  <c r="E1598" i="11"/>
  <c r="E1599" i="11"/>
  <c r="E1600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1585" i="11"/>
  <c r="E1586" i="11"/>
  <c r="E1587" i="11"/>
  <c r="E1588" i="11"/>
  <c r="E1589" i="11"/>
  <c r="E1590" i="11"/>
  <c r="E1591" i="11"/>
  <c r="E1592" i="11"/>
  <c r="E1577" i="11"/>
  <c r="E1578" i="11"/>
  <c r="E1579" i="11"/>
  <c r="E1580" i="11"/>
  <c r="E1581" i="11"/>
  <c r="E1582" i="11"/>
  <c r="E1583" i="11"/>
  <c r="E1584" i="11"/>
  <c r="E328" i="11"/>
  <c r="E329" i="11"/>
  <c r="E330" i="11"/>
  <c r="E331" i="11"/>
  <c r="E332" i="11"/>
  <c r="E333" i="11"/>
  <c r="E1569" i="11"/>
  <c r="E1570" i="11"/>
  <c r="E1571" i="11"/>
  <c r="E1572" i="11"/>
  <c r="E1573" i="11"/>
  <c r="E1574" i="11"/>
  <c r="E1575" i="11"/>
  <c r="E1576" i="11"/>
  <c r="E334" i="11"/>
  <c r="E335" i="11"/>
  <c r="E336" i="11"/>
  <c r="E1561" i="11"/>
  <c r="E1562" i="11"/>
  <c r="E1563" i="11"/>
  <c r="E1564" i="11"/>
  <c r="E1565" i="11"/>
  <c r="E1566" i="11"/>
  <c r="E1567" i="11"/>
  <c r="E1568" i="11"/>
  <c r="E1553" i="11"/>
  <c r="E1554" i="11"/>
  <c r="E1555" i="11"/>
  <c r="E1556" i="11"/>
  <c r="E1557" i="11"/>
  <c r="E1558" i="11"/>
  <c r="E1559" i="11"/>
  <c r="E1560" i="11"/>
  <c r="E1545" i="11"/>
  <c r="E1546" i="11"/>
  <c r="E1547" i="11"/>
  <c r="E1548" i="11"/>
  <c r="E1549" i="11"/>
  <c r="E1550" i="11"/>
  <c r="E1551" i="11"/>
  <c r="E1552" i="11"/>
  <c r="E337" i="11"/>
  <c r="E338" i="11"/>
  <c r="E339" i="11"/>
  <c r="E340" i="11"/>
  <c r="E1537" i="11"/>
  <c r="E1538" i="11"/>
  <c r="E1539" i="11"/>
  <c r="E1540" i="11"/>
  <c r="E1541" i="11"/>
  <c r="E1542" i="11"/>
  <c r="E1543" i="11"/>
  <c r="E1544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2193" i="11"/>
  <c r="E2194" i="11"/>
  <c r="E2195" i="11"/>
  <c r="E2196" i="11"/>
  <c r="E2197" i="11"/>
  <c r="E2198" i="11"/>
  <c r="E2199" i="11"/>
  <c r="E2200" i="11"/>
  <c r="E357" i="11"/>
  <c r="E358" i="11"/>
  <c r="E359" i="11"/>
  <c r="E360" i="11"/>
  <c r="E1137" i="11"/>
  <c r="E1138" i="11"/>
  <c r="E1139" i="11"/>
  <c r="E1140" i="11"/>
  <c r="E1141" i="11"/>
  <c r="E1142" i="11"/>
  <c r="E1143" i="11"/>
  <c r="E1144" i="11"/>
  <c r="E1529" i="11"/>
  <c r="E1530" i="11"/>
  <c r="E1531" i="11"/>
  <c r="E1532" i="11"/>
  <c r="E1533" i="11"/>
  <c r="E1534" i="11"/>
  <c r="E1535" i="11"/>
  <c r="E1536" i="11"/>
  <c r="E1521" i="11"/>
  <c r="E1522" i="11"/>
  <c r="E1523" i="11"/>
  <c r="E1524" i="11"/>
  <c r="E1525" i="11"/>
  <c r="E1526" i="11"/>
  <c r="E1527" i="11"/>
  <c r="E1528" i="11"/>
  <c r="E361" i="11"/>
  <c r="E889" i="11"/>
  <c r="E890" i="11"/>
  <c r="E891" i="11"/>
  <c r="E892" i="11"/>
  <c r="E893" i="11"/>
  <c r="E894" i="11"/>
  <c r="E895" i="11"/>
  <c r="E896" i="11"/>
  <c r="E362" i="11"/>
  <c r="E363" i="11"/>
  <c r="E364" i="11"/>
  <c r="E1513" i="11"/>
  <c r="E1514" i="11"/>
  <c r="E1515" i="11"/>
  <c r="E1516" i="11"/>
  <c r="E1517" i="11"/>
  <c r="E1518" i="11"/>
  <c r="E1519" i="11"/>
  <c r="E1520" i="11"/>
  <c r="E1505" i="11"/>
  <c r="E1506" i="11"/>
  <c r="E1507" i="11"/>
  <c r="E1508" i="11"/>
  <c r="E1509" i="11"/>
  <c r="E1510" i="11"/>
  <c r="E1511" i="11"/>
  <c r="E1512" i="11"/>
  <c r="E2313" i="11"/>
  <c r="E2314" i="11"/>
  <c r="E2315" i="11"/>
  <c r="E2316" i="11"/>
  <c r="E2317" i="11"/>
  <c r="E2318" i="11"/>
  <c r="E2319" i="11"/>
  <c r="E2320" i="11"/>
  <c r="E1497" i="11"/>
  <c r="E1498" i="11"/>
  <c r="E1499" i="11"/>
  <c r="E1500" i="11"/>
  <c r="E1501" i="11"/>
  <c r="E1502" i="11"/>
  <c r="E1503" i="11"/>
  <c r="E1504" i="11"/>
  <c r="E1489" i="11"/>
  <c r="E1490" i="11"/>
  <c r="E1491" i="11"/>
  <c r="E1492" i="11"/>
  <c r="E1493" i="11"/>
  <c r="E1494" i="11"/>
  <c r="E1495" i="11"/>
  <c r="E1496" i="11"/>
  <c r="E1481" i="11"/>
  <c r="E1482" i="11"/>
  <c r="E1483" i="11"/>
  <c r="E1484" i="11"/>
  <c r="E1485" i="11"/>
  <c r="E1486" i="11"/>
  <c r="E1487" i="11"/>
  <c r="E1488" i="11"/>
  <c r="E365" i="11"/>
  <c r="E366" i="11"/>
  <c r="E367" i="11"/>
  <c r="E368" i="11"/>
  <c r="E945" i="11"/>
  <c r="E946" i="11"/>
  <c r="E947" i="11"/>
  <c r="E948" i="11"/>
  <c r="E949" i="11"/>
  <c r="E950" i="11"/>
  <c r="E951" i="11"/>
  <c r="E952" i="11"/>
  <c r="E1473" i="11"/>
  <c r="E1474" i="11"/>
  <c r="E1475" i="11"/>
  <c r="E1476" i="11"/>
  <c r="E1477" i="11"/>
  <c r="E1478" i="11"/>
  <c r="E1479" i="11"/>
  <c r="E1480" i="11"/>
  <c r="E369" i="11"/>
  <c r="E370" i="11"/>
  <c r="E371" i="11"/>
  <c r="E1465" i="11"/>
  <c r="E1466" i="11"/>
  <c r="E1467" i="11"/>
  <c r="E1468" i="11"/>
  <c r="E1469" i="11"/>
  <c r="E1470" i="11"/>
  <c r="E1471" i="11"/>
  <c r="E1472" i="11"/>
  <c r="E1457" i="11"/>
  <c r="E1458" i="11"/>
  <c r="E1459" i="11"/>
  <c r="E1460" i="11"/>
  <c r="E1461" i="11"/>
  <c r="E1462" i="11"/>
  <c r="E1463" i="11"/>
  <c r="E1464" i="11"/>
  <c r="E817" i="11"/>
  <c r="E818" i="11"/>
  <c r="E819" i="11"/>
  <c r="E820" i="11"/>
  <c r="E821" i="11"/>
  <c r="E822" i="11"/>
  <c r="E823" i="11"/>
  <c r="E824" i="11"/>
  <c r="E809" i="11"/>
  <c r="E810" i="11"/>
  <c r="E811" i="11"/>
  <c r="E812" i="11"/>
  <c r="E813" i="11"/>
  <c r="E814" i="11"/>
  <c r="E815" i="11"/>
  <c r="E816" i="11"/>
  <c r="E1449" i="11"/>
  <c r="E1450" i="11"/>
  <c r="E1451" i="11"/>
  <c r="E1452" i="11"/>
  <c r="E1453" i="11"/>
  <c r="E1454" i="11"/>
  <c r="E1455" i="11"/>
  <c r="E1456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793" i="11"/>
  <c r="E794" i="11"/>
  <c r="E795" i="11"/>
  <c r="E796" i="11"/>
  <c r="E797" i="11"/>
  <c r="E798" i="11"/>
  <c r="E799" i="11"/>
  <c r="E800" i="11"/>
  <c r="E2321" i="11"/>
  <c r="E2322" i="11"/>
  <c r="E2323" i="11"/>
  <c r="E2324" i="11"/>
  <c r="E2325" i="11"/>
  <c r="E2326" i="11"/>
  <c r="E2327" i="11"/>
  <c r="E2328" i="11"/>
  <c r="E1441" i="11"/>
  <c r="E1442" i="11"/>
  <c r="E1443" i="11"/>
  <c r="E1444" i="11"/>
  <c r="E1445" i="11"/>
  <c r="E1446" i="11"/>
  <c r="E1447" i="11"/>
  <c r="E1448" i="11"/>
  <c r="E785" i="11"/>
  <c r="E786" i="11"/>
  <c r="E787" i="11"/>
  <c r="E788" i="11"/>
  <c r="E789" i="11"/>
  <c r="E790" i="11"/>
  <c r="E791" i="11"/>
  <c r="E792" i="11"/>
  <c r="E386" i="11"/>
  <c r="E387" i="11"/>
  <c r="E388" i="11"/>
  <c r="E1433" i="11"/>
  <c r="E1434" i="11"/>
  <c r="E1435" i="11"/>
  <c r="E1436" i="11"/>
  <c r="E1437" i="11"/>
  <c r="E1438" i="11"/>
  <c r="E1439" i="11"/>
  <c r="E1440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1113" i="11"/>
  <c r="E1114" i="11"/>
  <c r="E1115" i="11"/>
  <c r="E1116" i="11"/>
  <c r="E1117" i="11"/>
  <c r="E1118" i="11"/>
  <c r="E1119" i="11"/>
  <c r="E1120" i="11"/>
  <c r="E401" i="11"/>
  <c r="E402" i="11"/>
  <c r="E403" i="11"/>
  <c r="E404" i="11"/>
  <c r="E405" i="11"/>
  <c r="E406" i="11"/>
  <c r="E407" i="11"/>
  <c r="E1425" i="11"/>
  <c r="E1426" i="11"/>
  <c r="E1427" i="11"/>
  <c r="E1428" i="11"/>
  <c r="E1429" i="11"/>
  <c r="E1430" i="11"/>
  <c r="E1431" i="11"/>
  <c r="E1432" i="11"/>
  <c r="E408" i="11"/>
  <c r="E409" i="11"/>
  <c r="E410" i="11"/>
  <c r="E411" i="11"/>
  <c r="E412" i="11"/>
  <c r="E413" i="11"/>
  <c r="E414" i="11"/>
  <c r="E415" i="11"/>
  <c r="E416" i="11"/>
  <c r="E417" i="11"/>
  <c r="E418" i="11"/>
  <c r="E1417" i="11"/>
  <c r="E1418" i="11"/>
  <c r="E1419" i="11"/>
  <c r="E1420" i="11"/>
  <c r="E1421" i="11"/>
  <c r="E1422" i="11"/>
  <c r="E1423" i="11"/>
  <c r="E1424" i="11"/>
  <c r="E1409" i="11"/>
  <c r="E1410" i="11"/>
  <c r="E1411" i="11"/>
  <c r="E1412" i="11"/>
  <c r="E1413" i="11"/>
  <c r="E1414" i="11"/>
  <c r="E1415" i="11"/>
  <c r="E1416" i="11"/>
  <c r="E1401" i="11"/>
  <c r="E1402" i="11"/>
  <c r="E1403" i="11"/>
  <c r="E1404" i="11"/>
  <c r="E1405" i="11"/>
  <c r="E1406" i="11"/>
  <c r="E1407" i="11"/>
  <c r="E1408" i="11"/>
  <c r="E419" i="11"/>
  <c r="E420" i="11"/>
  <c r="E421" i="11"/>
  <c r="E422" i="11"/>
  <c r="E423" i="11"/>
  <c r="E424" i="11"/>
  <c r="E425" i="11"/>
  <c r="E1393" i="11"/>
  <c r="E1394" i="11"/>
  <c r="E1395" i="11"/>
  <c r="E1396" i="11"/>
  <c r="E1397" i="11"/>
  <c r="E1398" i="11"/>
  <c r="E1399" i="11"/>
  <c r="E1400" i="11"/>
  <c r="E426" i="11"/>
  <c r="E427" i="11"/>
  <c r="E428" i="11"/>
  <c r="E429" i="11"/>
  <c r="E430" i="11"/>
  <c r="E431" i="11"/>
  <c r="E432" i="11"/>
  <c r="E433" i="11"/>
  <c r="E434" i="11"/>
  <c r="E435" i="11"/>
  <c r="E436" i="11"/>
  <c r="E1385" i="11"/>
  <c r="E1386" i="11"/>
  <c r="E1387" i="11"/>
  <c r="E1388" i="11"/>
  <c r="E1389" i="11"/>
  <c r="E1390" i="11"/>
  <c r="E1391" i="11"/>
  <c r="E1392" i="11"/>
  <c r="E1377" i="11"/>
  <c r="E1378" i="11"/>
  <c r="E1379" i="11"/>
  <c r="E1380" i="11"/>
  <c r="E1381" i="11"/>
  <c r="E1382" i="11"/>
  <c r="E1383" i="11"/>
  <c r="E1384" i="11"/>
  <c r="E1369" i="11"/>
  <c r="E1370" i="11"/>
  <c r="E1371" i="11"/>
  <c r="E1372" i="11"/>
  <c r="E1373" i="11"/>
  <c r="E1374" i="11"/>
  <c r="E1375" i="11"/>
  <c r="E137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2217" i="11"/>
  <c r="E2218" i="11"/>
  <c r="E2219" i="11"/>
  <c r="E2220" i="11"/>
  <c r="E2221" i="11"/>
  <c r="E2222" i="11"/>
  <c r="E2223" i="11"/>
  <c r="E2224" i="11"/>
  <c r="E2209" i="11"/>
  <c r="E2210" i="11"/>
  <c r="E2211" i="11"/>
  <c r="E2212" i="11"/>
  <c r="E2213" i="11"/>
  <c r="E2214" i="11"/>
  <c r="E2215" i="11"/>
  <c r="E2216" i="11"/>
  <c r="E449" i="11"/>
  <c r="E450" i="11"/>
  <c r="E451" i="11"/>
  <c r="E1361" i="11"/>
  <c r="E1362" i="11"/>
  <c r="E1363" i="11"/>
  <c r="E1364" i="11"/>
  <c r="E1365" i="11"/>
  <c r="E1366" i="11"/>
  <c r="E1367" i="11"/>
  <c r="E1368" i="11"/>
  <c r="E452" i="11"/>
  <c r="E453" i="11"/>
  <c r="E454" i="11"/>
  <c r="E455" i="11"/>
  <c r="E1353" i="11"/>
  <c r="E1354" i="11"/>
  <c r="E1355" i="11"/>
  <c r="E1356" i="11"/>
  <c r="E1357" i="11"/>
  <c r="E1358" i="11"/>
  <c r="E1359" i="11"/>
  <c r="E1360" i="11"/>
  <c r="E1345" i="11"/>
  <c r="E1346" i="11"/>
  <c r="E1347" i="11"/>
  <c r="E1348" i="11"/>
  <c r="E1349" i="11"/>
  <c r="E1350" i="11"/>
  <c r="E1351" i="11"/>
  <c r="E1352" i="11"/>
  <c r="E1337" i="11"/>
  <c r="E1338" i="11"/>
  <c r="E1339" i="11"/>
  <c r="E1340" i="11"/>
  <c r="E1341" i="11"/>
  <c r="E1342" i="11"/>
  <c r="E1343" i="11"/>
  <c r="E1344" i="11"/>
  <c r="E769" i="11"/>
  <c r="E770" i="11"/>
  <c r="E771" i="11"/>
  <c r="E772" i="11"/>
  <c r="E773" i="11"/>
  <c r="E774" i="11"/>
  <c r="E775" i="11"/>
  <c r="E776" i="11"/>
  <c r="E1329" i="11"/>
  <c r="E1330" i="11"/>
  <c r="E1331" i="11"/>
  <c r="E1332" i="11"/>
  <c r="E1333" i="11"/>
  <c r="E1334" i="11"/>
  <c r="E1335" i="11"/>
  <c r="E1336" i="11"/>
  <c r="E777" i="11"/>
  <c r="E778" i="11"/>
  <c r="E779" i="11"/>
  <c r="E780" i="11"/>
  <c r="E781" i="11"/>
  <c r="E782" i="11"/>
  <c r="E783" i="11"/>
  <c r="E784" i="11"/>
  <c r="E456" i="11"/>
  <c r="E457" i="11"/>
  <c r="E458" i="11"/>
  <c r="E459" i="11"/>
  <c r="E460" i="11"/>
  <c r="E461" i="11"/>
  <c r="E761" i="11"/>
  <c r="E762" i="11"/>
  <c r="E763" i="11"/>
  <c r="E764" i="11"/>
  <c r="E765" i="11"/>
  <c r="E766" i="11"/>
  <c r="E767" i="11"/>
  <c r="E768" i="11"/>
  <c r="E1321" i="11"/>
  <c r="E1322" i="11"/>
  <c r="E1323" i="11"/>
  <c r="E1324" i="11"/>
  <c r="E1325" i="11"/>
  <c r="E1326" i="11"/>
  <c r="E1327" i="11"/>
  <c r="E1328" i="11"/>
  <c r="E462" i="11"/>
  <c r="E463" i="11"/>
  <c r="E464" i="11"/>
  <c r="E465" i="11"/>
  <c r="E466" i="11"/>
  <c r="E467" i="11"/>
  <c r="E468" i="11"/>
  <c r="E469" i="11"/>
  <c r="E470" i="11"/>
  <c r="E471" i="11"/>
  <c r="E472" i="11"/>
  <c r="E1313" i="11"/>
  <c r="E1314" i="11"/>
  <c r="E1315" i="11"/>
  <c r="E1316" i="11"/>
  <c r="E1317" i="11"/>
  <c r="E1318" i="11"/>
  <c r="E1319" i="11"/>
  <c r="E1320" i="11"/>
  <c r="E1305" i="11"/>
  <c r="E1306" i="11"/>
  <c r="E1307" i="11"/>
  <c r="E1308" i="11"/>
  <c r="E1309" i="11"/>
  <c r="E1310" i="11"/>
  <c r="E1311" i="11"/>
  <c r="E1312" i="11"/>
  <c r="E473" i="11"/>
  <c r="E474" i="11"/>
  <c r="E475" i="11"/>
  <c r="E476" i="11"/>
  <c r="E477" i="11"/>
  <c r="E478" i="11"/>
  <c r="E479" i="11"/>
  <c r="E1297" i="11"/>
  <c r="E1298" i="11"/>
  <c r="E1299" i="11"/>
  <c r="E1300" i="11"/>
  <c r="E1301" i="11"/>
  <c r="E1302" i="11"/>
  <c r="E1303" i="11"/>
  <c r="E1304" i="11"/>
  <c r="E1289" i="11"/>
  <c r="E1290" i="11"/>
  <c r="E1291" i="11"/>
  <c r="E1292" i="11"/>
  <c r="E1293" i="11"/>
  <c r="E1294" i="11"/>
  <c r="E1295" i="11"/>
  <c r="E1296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1281" i="11"/>
  <c r="E1282" i="11"/>
  <c r="E1283" i="11"/>
  <c r="E1284" i="11"/>
  <c r="E1285" i="11"/>
  <c r="E1286" i="11"/>
  <c r="E1287" i="11"/>
  <c r="E1288" i="11"/>
  <c r="E1273" i="11"/>
  <c r="E1274" i="11"/>
  <c r="E1275" i="11"/>
  <c r="E1276" i="11"/>
  <c r="E1277" i="11"/>
  <c r="E1278" i="11"/>
  <c r="E1279" i="11"/>
  <c r="E1280" i="11"/>
  <c r="E497" i="11"/>
  <c r="E498" i="11"/>
  <c r="E499" i="11"/>
  <c r="E500" i="11"/>
  <c r="E2225" i="11"/>
  <c r="E2226" i="11"/>
  <c r="E2227" i="11"/>
  <c r="E2228" i="11"/>
  <c r="E2229" i="11"/>
  <c r="E2230" i="11"/>
  <c r="E2231" i="11"/>
  <c r="E2232" i="11"/>
  <c r="E921" i="11"/>
  <c r="E922" i="11"/>
  <c r="E923" i="11"/>
  <c r="E924" i="11"/>
  <c r="E925" i="11"/>
  <c r="E926" i="11"/>
  <c r="E927" i="11"/>
  <c r="E928" i="11"/>
  <c r="E2177" i="11"/>
  <c r="E2178" i="11"/>
  <c r="E2179" i="11"/>
  <c r="E2180" i="11"/>
  <c r="E2181" i="11"/>
  <c r="E2182" i="11"/>
  <c r="E2183" i="11"/>
  <c r="E2184" i="11"/>
  <c r="E501" i="11"/>
  <c r="E502" i="11"/>
  <c r="E503" i="11"/>
  <c r="E2257" i="11"/>
  <c r="E2258" i="11"/>
  <c r="E2259" i="11"/>
  <c r="E2260" i="11"/>
  <c r="E2261" i="11"/>
  <c r="E2262" i="11"/>
  <c r="E2263" i="11"/>
  <c r="E2264" i="11"/>
  <c r="E1265" i="11"/>
  <c r="E1266" i="11"/>
  <c r="E1267" i="11"/>
  <c r="E1268" i="11"/>
  <c r="E1269" i="11"/>
  <c r="E1270" i="11"/>
  <c r="E1271" i="11"/>
  <c r="E1272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1257" i="11"/>
  <c r="E1258" i="11"/>
  <c r="E1259" i="11"/>
  <c r="E1260" i="11"/>
  <c r="E1261" i="11"/>
  <c r="E1262" i="11"/>
  <c r="E1263" i="11"/>
  <c r="E1264" i="11"/>
  <c r="E1249" i="11"/>
  <c r="E1250" i="11"/>
  <c r="E1251" i="11"/>
  <c r="E1252" i="11"/>
  <c r="E1253" i="11"/>
  <c r="E1254" i="11"/>
  <c r="E1255" i="11"/>
  <c r="E1256" i="11"/>
  <c r="E1241" i="11"/>
  <c r="E1242" i="11"/>
  <c r="E1243" i="11"/>
  <c r="E1244" i="11"/>
  <c r="E1245" i="11"/>
  <c r="E1246" i="11"/>
  <c r="E1247" i="11"/>
  <c r="E1248" i="11"/>
  <c r="E1233" i="11"/>
  <c r="E1234" i="11"/>
  <c r="E1235" i="11"/>
  <c r="E1236" i="11"/>
  <c r="E1237" i="11"/>
  <c r="E1238" i="11"/>
  <c r="E1239" i="11"/>
  <c r="E1240" i="11"/>
  <c r="E1225" i="11"/>
  <c r="E1226" i="11"/>
  <c r="E1227" i="11"/>
  <c r="E1228" i="11"/>
  <c r="E1229" i="11"/>
  <c r="E1230" i="11"/>
  <c r="E1231" i="11"/>
  <c r="E1232" i="11"/>
  <c r="E1217" i="11"/>
  <c r="E1218" i="11"/>
  <c r="E1219" i="11"/>
  <c r="E1220" i="11"/>
  <c r="E1221" i="11"/>
  <c r="E1222" i="11"/>
  <c r="E1223" i="11"/>
  <c r="E1224" i="11"/>
  <c r="E518" i="11"/>
  <c r="E519" i="11"/>
  <c r="E520" i="11"/>
  <c r="E521" i="11"/>
  <c r="E522" i="11"/>
  <c r="E523" i="11"/>
  <c r="E1209" i="11"/>
  <c r="E1210" i="11"/>
  <c r="E1211" i="11"/>
  <c r="E1212" i="11"/>
  <c r="E1213" i="11"/>
  <c r="E1214" i="11"/>
  <c r="E1215" i="11"/>
  <c r="E1216" i="11"/>
  <c r="E1201" i="11"/>
  <c r="E1202" i="11"/>
  <c r="E1203" i="11"/>
  <c r="E1204" i="11"/>
  <c r="E1205" i="11"/>
  <c r="E1206" i="11"/>
  <c r="E1207" i="11"/>
  <c r="E1208" i="11"/>
  <c r="E1193" i="11"/>
  <c r="E1194" i="11"/>
  <c r="E1195" i="11"/>
  <c r="E1196" i="11"/>
  <c r="E1197" i="11"/>
  <c r="E1198" i="11"/>
  <c r="E1199" i="11"/>
  <c r="E1200" i="11"/>
  <c r="E524" i="11"/>
  <c r="E525" i="11"/>
  <c r="E526" i="11"/>
  <c r="E527" i="11"/>
  <c r="E1185" i="11"/>
  <c r="E1186" i="11"/>
  <c r="E1187" i="11"/>
  <c r="E1188" i="11"/>
  <c r="E1189" i="11"/>
  <c r="E1190" i="11"/>
  <c r="E1191" i="11"/>
  <c r="E1192" i="11"/>
  <c r="E528" i="11"/>
  <c r="E529" i="11"/>
  <c r="E530" i="11"/>
  <c r="E531" i="11"/>
  <c r="E532" i="11"/>
  <c r="E533" i="11"/>
  <c r="E1177" i="11"/>
  <c r="E1178" i="11"/>
  <c r="E1179" i="11"/>
  <c r="E1180" i="11"/>
  <c r="E1181" i="11"/>
  <c r="E1182" i="11"/>
  <c r="E1183" i="11"/>
  <c r="E1184" i="11"/>
  <c r="E1169" i="11"/>
  <c r="E1170" i="11"/>
  <c r="E1171" i="11"/>
  <c r="E1172" i="11"/>
  <c r="E1173" i="11"/>
  <c r="E1174" i="11"/>
  <c r="E1175" i="11"/>
  <c r="E1176" i="11"/>
  <c r="E1161" i="11"/>
  <c r="E1162" i="11"/>
  <c r="E1163" i="11"/>
  <c r="E1164" i="11"/>
  <c r="E1165" i="11"/>
  <c r="E1166" i="11"/>
  <c r="E1167" i="11"/>
  <c r="E1168" i="11"/>
  <c r="E534" i="11"/>
  <c r="E535" i="11"/>
  <c r="E536" i="11"/>
  <c r="E537" i="11"/>
  <c r="E538" i="11"/>
  <c r="E539" i="11"/>
  <c r="E540" i="11"/>
  <c r="E1145" i="11"/>
  <c r="E1146" i="11"/>
  <c r="E1147" i="11"/>
  <c r="E1148" i="11"/>
  <c r="E1149" i="11"/>
  <c r="E1150" i="11"/>
  <c r="E1151" i="11"/>
  <c r="E1152" i="11"/>
  <c r="E2201" i="11"/>
  <c r="E2202" i="11"/>
  <c r="E2203" i="11"/>
  <c r="E2204" i="11"/>
  <c r="E2205" i="11"/>
  <c r="E2206" i="11"/>
  <c r="E2207" i="11"/>
  <c r="E2208" i="11"/>
  <c r="E541" i="11"/>
  <c r="E542" i="11"/>
  <c r="E543" i="11"/>
  <c r="E544" i="11"/>
  <c r="E545" i="11"/>
  <c r="E546" i="11"/>
  <c r="E547" i="11"/>
  <c r="E548" i="11"/>
  <c r="E549" i="11"/>
  <c r="E550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1129" i="11"/>
  <c r="E1130" i="11"/>
  <c r="E1131" i="11"/>
  <c r="E1132" i="11"/>
  <c r="E1133" i="11"/>
  <c r="E1134" i="11"/>
  <c r="E1135" i="11"/>
  <c r="E1136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551" i="11"/>
  <c r="E552" i="11"/>
  <c r="E553" i="11"/>
  <c r="E554" i="11"/>
  <c r="E555" i="11"/>
  <c r="E556" i="11"/>
  <c r="E2377" i="11"/>
  <c r="E2378" i="11"/>
  <c r="E2379" i="11"/>
  <c r="E2380" i="11"/>
  <c r="E2381" i="11"/>
  <c r="E2382" i="11"/>
  <c r="E2383" i="11"/>
  <c r="E2384" i="11"/>
  <c r="E2233" i="11"/>
  <c r="E2234" i="11"/>
  <c r="E2235" i="11"/>
  <c r="E2236" i="11"/>
  <c r="E2237" i="11"/>
  <c r="E2238" i="11"/>
  <c r="E2239" i="11"/>
  <c r="E2240" i="11"/>
  <c r="E557" i="11"/>
  <c r="E558" i="11"/>
  <c r="E559" i="11"/>
  <c r="E560" i="11"/>
  <c r="E561" i="11"/>
  <c r="E562" i="11"/>
  <c r="E563" i="11"/>
  <c r="E2385" i="11"/>
  <c r="E2386" i="11"/>
  <c r="E2387" i="11"/>
  <c r="E2388" i="11"/>
  <c r="E2389" i="11"/>
  <c r="E2390" i="11"/>
  <c r="E2391" i="11"/>
  <c r="E2392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1097" i="11"/>
  <c r="E1098" i="11"/>
  <c r="E1099" i="11"/>
  <c r="E1100" i="11"/>
  <c r="E1101" i="11"/>
  <c r="E1102" i="11"/>
  <c r="E1103" i="11"/>
  <c r="E1104" i="11"/>
  <c r="E578" i="11"/>
  <c r="E579" i="11"/>
  <c r="E580" i="11"/>
  <c r="E581" i="11"/>
  <c r="E582" i="11"/>
  <c r="E583" i="11"/>
  <c r="E584" i="11"/>
  <c r="E1089" i="11"/>
  <c r="E1090" i="11"/>
  <c r="E1091" i="11"/>
  <c r="E1092" i="11"/>
  <c r="E1093" i="11"/>
  <c r="E1094" i="11"/>
  <c r="E1095" i="11"/>
  <c r="E1096" i="11"/>
  <c r="E585" i="11"/>
  <c r="E586" i="11"/>
  <c r="E587" i="11"/>
  <c r="E588" i="11"/>
  <c r="E589" i="11"/>
  <c r="E590" i="11"/>
  <c r="E1081" i="11"/>
  <c r="E1082" i="11"/>
  <c r="E1083" i="11"/>
  <c r="E1084" i="11"/>
  <c r="E1085" i="11"/>
  <c r="E1086" i="11"/>
  <c r="E1087" i="11"/>
  <c r="E1088" i="11"/>
  <c r="E591" i="11"/>
  <c r="E592" i="11"/>
  <c r="E593" i="11"/>
  <c r="E594" i="11"/>
  <c r="E595" i="11"/>
  <c r="E596" i="11"/>
  <c r="E597" i="11"/>
  <c r="E801" i="11"/>
  <c r="E802" i="11"/>
  <c r="E803" i="11"/>
  <c r="E804" i="11"/>
  <c r="E805" i="11"/>
  <c r="E806" i="11"/>
  <c r="E807" i="11"/>
  <c r="E808" i="11"/>
  <c r="E598" i="11"/>
  <c r="E599" i="11"/>
  <c r="E600" i="11"/>
  <c r="E753" i="11"/>
  <c r="E754" i="11"/>
  <c r="E755" i="11"/>
  <c r="E756" i="11"/>
  <c r="E757" i="11"/>
  <c r="E758" i="11"/>
  <c r="E759" i="11"/>
  <c r="E760" i="11"/>
  <c r="E1073" i="11"/>
  <c r="E1074" i="11"/>
  <c r="E1075" i="11"/>
  <c r="E1076" i="11"/>
  <c r="E1077" i="11"/>
  <c r="E1078" i="11"/>
  <c r="E1079" i="11"/>
  <c r="E1080" i="11"/>
  <c r="E745" i="11"/>
  <c r="E746" i="11"/>
  <c r="E747" i="11"/>
  <c r="E748" i="11"/>
  <c r="E749" i="11"/>
  <c r="E750" i="11"/>
  <c r="E751" i="11"/>
  <c r="E752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1065" i="11"/>
  <c r="E1066" i="11"/>
  <c r="E1067" i="11"/>
  <c r="E1068" i="11"/>
  <c r="E1069" i="11"/>
  <c r="E1070" i="11"/>
  <c r="E1071" i="11"/>
  <c r="E1072" i="11"/>
  <c r="E615" i="11"/>
  <c r="E616" i="11"/>
  <c r="E617" i="11"/>
  <c r="E618" i="11"/>
  <c r="E619" i="11"/>
  <c r="E620" i="11"/>
  <c r="E621" i="11"/>
  <c r="E1057" i="11"/>
  <c r="E1058" i="11"/>
  <c r="E1059" i="11"/>
  <c r="E1060" i="11"/>
  <c r="E1061" i="11"/>
  <c r="E1062" i="11"/>
  <c r="E1063" i="11"/>
  <c r="E1064" i="11"/>
  <c r="E1049" i="11"/>
  <c r="E1050" i="11"/>
  <c r="E1051" i="11"/>
  <c r="E1052" i="11"/>
  <c r="E1053" i="11"/>
  <c r="E1054" i="11"/>
  <c r="E1055" i="11"/>
  <c r="E1056" i="11"/>
  <c r="E622" i="11"/>
  <c r="E623" i="11"/>
  <c r="E624" i="11"/>
  <c r="E625" i="11"/>
  <c r="E626" i="11"/>
  <c r="E627" i="11"/>
  <c r="E628" i="11"/>
  <c r="E1041" i="11"/>
  <c r="E1042" i="11"/>
  <c r="E1043" i="11"/>
  <c r="E1044" i="11"/>
  <c r="E1045" i="11"/>
  <c r="E1046" i="11"/>
  <c r="E1047" i="11"/>
  <c r="E1048" i="11"/>
  <c r="E1033" i="11"/>
  <c r="E1034" i="11"/>
  <c r="E1035" i="11"/>
  <c r="E1036" i="11"/>
  <c r="E1037" i="11"/>
  <c r="E1038" i="11"/>
  <c r="E1039" i="11"/>
  <c r="E1040" i="11"/>
  <c r="E629" i="11"/>
  <c r="E630" i="11"/>
  <c r="E631" i="11"/>
  <c r="E632" i="11"/>
  <c r="E633" i="11"/>
  <c r="E634" i="11"/>
  <c r="E635" i="11"/>
  <c r="E1025" i="11"/>
  <c r="E1026" i="11"/>
  <c r="E1027" i="11"/>
  <c r="E1028" i="11"/>
  <c r="E1029" i="11"/>
  <c r="E1030" i="11"/>
  <c r="E1031" i="11"/>
  <c r="E1032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737" i="11"/>
  <c r="E738" i="11"/>
  <c r="E739" i="11"/>
  <c r="E740" i="11"/>
  <c r="E741" i="11"/>
  <c r="E742" i="11"/>
  <c r="E743" i="11"/>
  <c r="E744" i="11"/>
  <c r="E729" i="11"/>
  <c r="E730" i="11"/>
  <c r="E731" i="11"/>
  <c r="E732" i="11"/>
  <c r="E733" i="11"/>
  <c r="E734" i="11"/>
  <c r="E735" i="11"/>
  <c r="E736" i="11"/>
  <c r="E685" i="11"/>
  <c r="E686" i="11"/>
  <c r="E687" i="11"/>
  <c r="E1017" i="11"/>
  <c r="E1018" i="11"/>
  <c r="E1019" i="11"/>
  <c r="E1020" i="11"/>
  <c r="E1021" i="11"/>
  <c r="E1022" i="11"/>
  <c r="E1023" i="11"/>
  <c r="E1024" i="11"/>
  <c r="E688" i="11"/>
  <c r="E689" i="11"/>
  <c r="E690" i="11"/>
  <c r="E721" i="11"/>
  <c r="E722" i="11"/>
  <c r="E723" i="11"/>
  <c r="E724" i="11"/>
  <c r="E725" i="11"/>
  <c r="E726" i="11"/>
  <c r="E727" i="11"/>
  <c r="E728" i="11"/>
  <c r="E713" i="11"/>
  <c r="E714" i="11"/>
  <c r="E715" i="11"/>
  <c r="E716" i="11"/>
  <c r="E717" i="11"/>
  <c r="E718" i="11"/>
  <c r="E719" i="11"/>
  <c r="E720" i="11"/>
  <c r="E691" i="11"/>
  <c r="E692" i="11"/>
  <c r="E693" i="11"/>
  <c r="E694" i="11"/>
  <c r="E2185" i="11"/>
  <c r="E2186" i="11"/>
  <c r="E2187" i="11"/>
  <c r="E2188" i="11"/>
  <c r="E2189" i="11"/>
  <c r="E2190" i="11"/>
  <c r="E2191" i="11"/>
  <c r="E2192" i="11"/>
  <c r="E695" i="11"/>
  <c r="E696" i="11"/>
  <c r="E697" i="11"/>
  <c r="E698" i="11"/>
  <c r="E699" i="11"/>
  <c r="E700" i="11"/>
  <c r="E1009" i="11"/>
  <c r="E1010" i="11"/>
  <c r="E1011" i="11"/>
  <c r="E1012" i="11"/>
  <c r="E1013" i="11"/>
  <c r="E1014" i="11"/>
  <c r="E1015" i="11"/>
  <c r="E1016" i="11"/>
  <c r="E705" i="11"/>
  <c r="E706" i="11"/>
  <c r="E707" i="11"/>
  <c r="E708" i="11"/>
  <c r="E709" i="11"/>
  <c r="E710" i="11"/>
  <c r="E711" i="11"/>
  <c r="E712" i="11"/>
  <c r="E701" i="11"/>
  <c r="E702" i="11"/>
  <c r="E703" i="11"/>
  <c r="E704" i="11"/>
  <c r="E1001" i="11"/>
  <c r="E1002" i="11"/>
  <c r="E1003" i="11"/>
  <c r="E1004" i="11"/>
  <c r="E1005" i="11"/>
  <c r="E1006" i="11"/>
  <c r="E1007" i="11"/>
  <c r="E1008" i="11"/>
  <c r="E993" i="11"/>
  <c r="E994" i="11"/>
  <c r="E995" i="11"/>
  <c r="E996" i="11"/>
  <c r="E997" i="11"/>
  <c r="E998" i="11"/>
  <c r="E999" i="11"/>
  <c r="E1000" i="11"/>
  <c r="E985" i="11"/>
  <c r="E986" i="11"/>
  <c r="E987" i="11"/>
  <c r="E988" i="11"/>
  <c r="E989" i="11"/>
  <c r="E990" i="11"/>
  <c r="E991" i="11"/>
  <c r="E992" i="11"/>
  <c r="E977" i="11"/>
  <c r="E978" i="11"/>
  <c r="E979" i="11"/>
  <c r="E980" i="11"/>
  <c r="E981" i="11"/>
  <c r="E982" i="11"/>
  <c r="E983" i="11"/>
  <c r="E984" i="11"/>
  <c r="E969" i="11"/>
  <c r="E970" i="11"/>
  <c r="E971" i="11"/>
  <c r="E972" i="11"/>
  <c r="E973" i="11"/>
  <c r="E974" i="11"/>
  <c r="E975" i="11"/>
  <c r="E976" i="11"/>
  <c r="E961" i="11"/>
  <c r="E962" i="11"/>
  <c r="E963" i="11"/>
  <c r="E964" i="11"/>
  <c r="E965" i="11"/>
  <c r="E966" i="11"/>
  <c r="E967" i="11"/>
  <c r="E968" i="11"/>
  <c r="E953" i="11"/>
  <c r="E954" i="11"/>
  <c r="E955" i="11"/>
  <c r="E956" i="11"/>
  <c r="E957" i="11"/>
  <c r="E958" i="11"/>
  <c r="E959" i="11"/>
  <c r="E960" i="11"/>
  <c r="E2" i="11"/>
  <c r="C313" i="9"/>
  <c r="C317" i="9" s="1"/>
  <c r="C270" i="10"/>
  <c r="C274" i="10" s="1"/>
  <c r="C337" i="8"/>
  <c r="C333" i="8"/>
  <c r="C326" i="7"/>
  <c r="C330" i="7" s="1"/>
  <c r="C310" i="6"/>
  <c r="C314" i="6" s="1"/>
  <c r="C306" i="5"/>
  <c r="C302" i="5"/>
  <c r="C298" i="3"/>
  <c r="C302" i="3" s="1"/>
  <c r="D295" i="2"/>
  <c r="D299" i="2" s="1"/>
</calcChain>
</file>

<file path=xl/sharedStrings.xml><?xml version="1.0" encoding="utf-8"?>
<sst xmlns="http://schemas.openxmlformats.org/spreadsheetml/2006/main" count="5886" uniqueCount="381">
  <si>
    <t>Addison School</t>
  </si>
  <si>
    <t>Albany School</t>
  </si>
  <si>
    <t>Alburg School</t>
  </si>
  <si>
    <t>Arlington School</t>
  </si>
  <si>
    <t>Bakersfield School</t>
  </si>
  <si>
    <t>Barnard School</t>
  </si>
  <si>
    <t>Barnet School</t>
  </si>
  <si>
    <t>Barre City School</t>
  </si>
  <si>
    <t>Barre Town School</t>
  </si>
  <si>
    <t>Barton School</t>
  </si>
  <si>
    <t>Bennington School</t>
  </si>
  <si>
    <t>Benson School</t>
  </si>
  <si>
    <t>Berkshire School</t>
  </si>
  <si>
    <t>Berlin School</t>
  </si>
  <si>
    <t>Bethel School</t>
  </si>
  <si>
    <t>Bolton School</t>
  </si>
  <si>
    <t>Bradford School</t>
  </si>
  <si>
    <t>Braintree School</t>
  </si>
  <si>
    <t>Brandon Town School</t>
  </si>
  <si>
    <t>Brattleboro Town School</t>
  </si>
  <si>
    <t>Bridgewater School</t>
  </si>
  <si>
    <t>Bridport School</t>
  </si>
  <si>
    <t>Brighton School</t>
  </si>
  <si>
    <t>Bristol School</t>
  </si>
  <si>
    <t>Brookfield School</t>
  </si>
  <si>
    <t>Brownington School</t>
  </si>
  <si>
    <t>Burke School</t>
  </si>
  <si>
    <t>Burlington School</t>
  </si>
  <si>
    <t>Cabot School</t>
  </si>
  <si>
    <t>Calais School</t>
  </si>
  <si>
    <t>Cambridge School</t>
  </si>
  <si>
    <t>Canaan School</t>
  </si>
  <si>
    <t>Castleton/Hubbardton SD 42</t>
  </si>
  <si>
    <t>Cavendish School</t>
  </si>
  <si>
    <t>Charleston School</t>
  </si>
  <si>
    <t>Charlotte School</t>
  </si>
  <si>
    <t>Chelsea School</t>
  </si>
  <si>
    <t>Clarendon School</t>
  </si>
  <si>
    <t>Colchester School</t>
  </si>
  <si>
    <t>Concord School</t>
  </si>
  <si>
    <t>Cornwall School</t>
  </si>
  <si>
    <t>Coventry School</t>
  </si>
  <si>
    <t>Craftsbury School</t>
  </si>
  <si>
    <t>Danville School</t>
  </si>
  <si>
    <t>Derby School</t>
  </si>
  <si>
    <t>Dorset School</t>
  </si>
  <si>
    <t>Dover School</t>
  </si>
  <si>
    <t>Dummerston School</t>
  </si>
  <si>
    <t>East Montpelier School</t>
  </si>
  <si>
    <t>Eden School</t>
  </si>
  <si>
    <t>Elmore School</t>
  </si>
  <si>
    <t>Enosburg School</t>
  </si>
  <si>
    <t>Essex Comm. Ed # 46</t>
  </si>
  <si>
    <t>Essex Jct Id School</t>
  </si>
  <si>
    <t>Essex Town School</t>
  </si>
  <si>
    <t>Fair Haven School</t>
  </si>
  <si>
    <t>Fairfax School</t>
  </si>
  <si>
    <t>Fairfield School</t>
  </si>
  <si>
    <t>Fayston School</t>
  </si>
  <si>
    <t>Ferrisburg School</t>
  </si>
  <si>
    <t>Fletcher School</t>
  </si>
  <si>
    <t>Franklin School</t>
  </si>
  <si>
    <t>Georgia School</t>
  </si>
  <si>
    <t>Glover School</t>
  </si>
  <si>
    <t>Grafton School</t>
  </si>
  <si>
    <t>Grand Isle School</t>
  </si>
  <si>
    <t>Lakeview Uhs #43</t>
  </si>
  <si>
    <t>Guildhall School</t>
  </si>
  <si>
    <t>Guilford School</t>
  </si>
  <si>
    <t>Halifax School</t>
  </si>
  <si>
    <t>Hardwick School</t>
  </si>
  <si>
    <t>Hartford School</t>
  </si>
  <si>
    <t>Hartland School</t>
  </si>
  <si>
    <t>Highgate School</t>
  </si>
  <si>
    <t>Hinesburg School</t>
  </si>
  <si>
    <t>Holland School</t>
  </si>
  <si>
    <t>Huntington School</t>
  </si>
  <si>
    <t>Hyde Park School</t>
  </si>
  <si>
    <t>Irasburg School</t>
  </si>
  <si>
    <t>Isle Lamotte School</t>
  </si>
  <si>
    <t>Jamaica School</t>
  </si>
  <si>
    <t>Jay/Westfield School</t>
  </si>
  <si>
    <t>Jericho School</t>
  </si>
  <si>
    <t>Johnson School</t>
  </si>
  <si>
    <t>Leicester School</t>
  </si>
  <si>
    <t>Lincoln School</t>
  </si>
  <si>
    <t>Lowell School</t>
  </si>
  <si>
    <t>Ludlow School</t>
  </si>
  <si>
    <t>Lunenburg School</t>
  </si>
  <si>
    <t>Lyndon Town School</t>
  </si>
  <si>
    <t>Manchester School</t>
  </si>
  <si>
    <t>Marlboro School</t>
  </si>
  <si>
    <t>Middlebury Id School</t>
  </si>
  <si>
    <t>Middlesex School</t>
  </si>
  <si>
    <t>Middletown Springs School</t>
  </si>
  <si>
    <t>Milton School</t>
  </si>
  <si>
    <t>Monkton School</t>
  </si>
  <si>
    <t>Montgomery School</t>
  </si>
  <si>
    <t>Montpelier School</t>
  </si>
  <si>
    <t>Moretown School</t>
  </si>
  <si>
    <t>Morristown School</t>
  </si>
  <si>
    <t>Mt Holly School</t>
  </si>
  <si>
    <t>New Haven School</t>
  </si>
  <si>
    <t>Newark School</t>
  </si>
  <si>
    <t>Newbury School</t>
  </si>
  <si>
    <t>Newbrook Elementary School</t>
  </si>
  <si>
    <t>Newport City School</t>
  </si>
  <si>
    <t>Newport Town School</t>
  </si>
  <si>
    <t>No Bennington Id School</t>
  </si>
  <si>
    <t>North Hero School</t>
  </si>
  <si>
    <t>Northfield School</t>
  </si>
  <si>
    <t>Norwich School</t>
  </si>
  <si>
    <t>Orange School</t>
  </si>
  <si>
    <t>Orleans Id School</t>
  </si>
  <si>
    <t>Orwell School</t>
  </si>
  <si>
    <t>Union District #47</t>
  </si>
  <si>
    <t>Peacham School</t>
  </si>
  <si>
    <t>Pittsford School</t>
  </si>
  <si>
    <t>Pomfret School</t>
  </si>
  <si>
    <t>Poultney School</t>
  </si>
  <si>
    <t>Pownal School</t>
  </si>
  <si>
    <t>Proctor School</t>
  </si>
  <si>
    <t>Putney School</t>
  </si>
  <si>
    <t>Randolph School</t>
  </si>
  <si>
    <t>Reading School</t>
  </si>
  <si>
    <t>Readsboro School</t>
  </si>
  <si>
    <t>Richford School</t>
  </si>
  <si>
    <t>Richmond School</t>
  </si>
  <si>
    <t>Ripton School</t>
  </si>
  <si>
    <t>Rochester School</t>
  </si>
  <si>
    <t>Rockingham School</t>
  </si>
  <si>
    <t>Roxbury School</t>
  </si>
  <si>
    <t>Royalton School</t>
  </si>
  <si>
    <t>Rutland City School</t>
  </si>
  <si>
    <t>Rutland Town School</t>
  </si>
  <si>
    <t>St Albans City School</t>
  </si>
  <si>
    <t>St Albans Town School</t>
  </si>
  <si>
    <t>St Johnsbury School</t>
  </si>
  <si>
    <t>Salisbury School</t>
  </si>
  <si>
    <t>Shaftsbury School</t>
  </si>
  <si>
    <t>Sharon School</t>
  </si>
  <si>
    <t>Shelburne School</t>
  </si>
  <si>
    <t>Sheldon School</t>
  </si>
  <si>
    <t>Sherburne School</t>
  </si>
  <si>
    <t>Shoreham School</t>
  </si>
  <si>
    <t>Shrewsbury School</t>
  </si>
  <si>
    <t>South Burlington School</t>
  </si>
  <si>
    <t>South Hero School</t>
  </si>
  <si>
    <t>Springfield School</t>
  </si>
  <si>
    <t>Stamford School</t>
  </si>
  <si>
    <t>Starksboro School</t>
  </si>
  <si>
    <t>Stowe School</t>
  </si>
  <si>
    <t>Strafford School</t>
  </si>
  <si>
    <t>Sudbury School</t>
  </si>
  <si>
    <t>Sunderland School</t>
  </si>
  <si>
    <t>Sutton School</t>
  </si>
  <si>
    <t>Swanton School</t>
  </si>
  <si>
    <t>Thetford School</t>
  </si>
  <si>
    <t>Tinmouth School</t>
  </si>
  <si>
    <t>Townshend School</t>
  </si>
  <si>
    <t>Troy School</t>
  </si>
  <si>
    <t>Tunbridge School</t>
  </si>
  <si>
    <t>Underhill Id School</t>
  </si>
  <si>
    <t>Underhill Town School</t>
  </si>
  <si>
    <t>Vergennes School</t>
  </si>
  <si>
    <t>Vernon School</t>
  </si>
  <si>
    <t>Waitsfield School</t>
  </si>
  <si>
    <t>Walden School</t>
  </si>
  <si>
    <t>Wallingford School</t>
  </si>
  <si>
    <t>Wardsboro School</t>
  </si>
  <si>
    <t>Warren School</t>
  </si>
  <si>
    <t>Washington School</t>
  </si>
  <si>
    <t>Waterbury/Duxbury School</t>
  </si>
  <si>
    <t>Waterford School</t>
  </si>
  <si>
    <t>Waterville School</t>
  </si>
  <si>
    <t>Weathersfield School</t>
  </si>
  <si>
    <t>Wells School</t>
  </si>
  <si>
    <t>West Rutland School</t>
  </si>
  <si>
    <t>West Windsor School</t>
  </si>
  <si>
    <t>Westford School</t>
  </si>
  <si>
    <t>Westminster School</t>
  </si>
  <si>
    <t>Weybridge School</t>
  </si>
  <si>
    <t>Whiting School</t>
  </si>
  <si>
    <t>Whitingham School</t>
  </si>
  <si>
    <t>Williamstown High School</t>
  </si>
  <si>
    <t>Williamstown Elem School</t>
  </si>
  <si>
    <t>Williston School</t>
  </si>
  <si>
    <t>Wilmington School</t>
  </si>
  <si>
    <t>Windham School</t>
  </si>
  <si>
    <t>Windsor School</t>
  </si>
  <si>
    <t>Winooski School</t>
  </si>
  <si>
    <t>Wolcott School</t>
  </si>
  <si>
    <t>Woodbury School</t>
  </si>
  <si>
    <t>Woodford School</t>
  </si>
  <si>
    <t>Woodstock School</t>
  </si>
  <si>
    <t>Worcester School</t>
  </si>
  <si>
    <t>Bellows Free Academy</t>
  </si>
  <si>
    <t>Burr &amp; Burton Seminary</t>
  </si>
  <si>
    <t>Lyndon Institute</t>
  </si>
  <si>
    <t>St Johnsbury Academy</t>
  </si>
  <si>
    <t>Thetford Academy</t>
  </si>
  <si>
    <t>Dept Of Education</t>
  </si>
  <si>
    <t>Dept Of Social &amp; Rehab Serv</t>
  </si>
  <si>
    <t>Department Of Corrections</t>
  </si>
  <si>
    <t>Addison Northwest SU</t>
  </si>
  <si>
    <t>Rutland Northeast SU</t>
  </si>
  <si>
    <t>Rutland South West SU</t>
  </si>
  <si>
    <t>Addison Central SU</t>
  </si>
  <si>
    <t>Grand Isle SU</t>
  </si>
  <si>
    <t>Barstow Joint</t>
  </si>
  <si>
    <t>Addison NE SU</t>
  </si>
  <si>
    <t>Washington NE SU</t>
  </si>
  <si>
    <t>Austine School</t>
  </si>
  <si>
    <t>Vac School</t>
  </si>
  <si>
    <t>Windsor SW SU</t>
  </si>
  <si>
    <t>Middlebury Union #3</t>
  </si>
  <si>
    <t>Union High #2</t>
  </si>
  <si>
    <t>Orleans Central SU</t>
  </si>
  <si>
    <t>Orange Windsor SU</t>
  </si>
  <si>
    <t>Brattleboro Union #6</t>
  </si>
  <si>
    <t>Woodstock Union #4</t>
  </si>
  <si>
    <t>Vergennes Union #5</t>
  </si>
  <si>
    <t>Chittenden Central SU</t>
  </si>
  <si>
    <t>Bennington-Rutland SU</t>
  </si>
  <si>
    <t>Twinfield Union #33</t>
  </si>
  <si>
    <t>Otter Valley Union #8</t>
  </si>
  <si>
    <t>North Country Union #22</t>
  </si>
  <si>
    <t>Mt Anthony Union #14</t>
  </si>
  <si>
    <t>Fair Haven Union #16</t>
  </si>
  <si>
    <t>Champlain Valley Union #15</t>
  </si>
  <si>
    <t>Rutland Central SU</t>
  </si>
  <si>
    <t>Chittenden South SU</t>
  </si>
  <si>
    <t>Addison Rutland SU</t>
  </si>
  <si>
    <t>Windham SE SU</t>
  </si>
  <si>
    <t>Chittenden East SU</t>
  </si>
  <si>
    <t>Franklin NW SU</t>
  </si>
  <si>
    <t>Windsor Central SU</t>
  </si>
  <si>
    <t>Franklin Esea</t>
  </si>
  <si>
    <t>Windsor NW SU</t>
  </si>
  <si>
    <t>Harwood Union #19</t>
  </si>
  <si>
    <t>Essex Caledonia SU</t>
  </si>
  <si>
    <t>Caledonia -Fed</t>
  </si>
  <si>
    <t>Orange SW SU</t>
  </si>
  <si>
    <t>Lamoille So SU</t>
  </si>
  <si>
    <t>Union #23</t>
  </si>
  <si>
    <t>Washington So SU</t>
  </si>
  <si>
    <t>Lake Region Uhs #24</t>
  </si>
  <si>
    <t>Mt Mansfield Uhs #17</t>
  </si>
  <si>
    <t>Lamoille Uhs #18</t>
  </si>
  <si>
    <t>Orange East SU</t>
  </si>
  <si>
    <t>Rutland Windsor SU</t>
  </si>
  <si>
    <t>Two Rivers SU</t>
  </si>
  <si>
    <t>Caledonia North SU</t>
  </si>
  <si>
    <t>Franklin West SU</t>
  </si>
  <si>
    <t>Orleans SW SU</t>
  </si>
  <si>
    <t>Lamoille North SU</t>
  </si>
  <si>
    <t>Washington West SU</t>
  </si>
  <si>
    <t>Union #29</t>
  </si>
  <si>
    <t>Mt Abraham Union #28</t>
  </si>
  <si>
    <t>Orleans Essex N SU</t>
  </si>
  <si>
    <t>Windsor SE SU</t>
  </si>
  <si>
    <t>Leland &amp; Gray Union #34</t>
  </si>
  <si>
    <t>Hazen Union #26</t>
  </si>
  <si>
    <t>Missisquoi Valley Union #7</t>
  </si>
  <si>
    <t>Blue Mtn Union #21</t>
  </si>
  <si>
    <t>Green Mtn Uhs Union #35</t>
  </si>
  <si>
    <t>Southwest Vt SU</t>
  </si>
  <si>
    <t>Southwest Vt SU - Title I</t>
  </si>
  <si>
    <t>Union #27</t>
  </si>
  <si>
    <t>Stockbridge School</t>
  </si>
  <si>
    <t>Windham NE SU</t>
  </si>
  <si>
    <t>Ox Bow Union #30</t>
  </si>
  <si>
    <t>Union #32</t>
  </si>
  <si>
    <t>Union #37</t>
  </si>
  <si>
    <t>Union #36</t>
  </si>
  <si>
    <t>Washington Central SU</t>
  </si>
  <si>
    <t>Windham Central</t>
  </si>
  <si>
    <t>Windham SW SU</t>
  </si>
  <si>
    <t>Union #39</t>
  </si>
  <si>
    <t>Union #40</t>
  </si>
  <si>
    <t>Union 22 Dresden</t>
  </si>
  <si>
    <t>Orange North S. U.</t>
  </si>
  <si>
    <t>Franklin Ctl SU - Spec Ed</t>
  </si>
  <si>
    <t>Rutland South SU</t>
  </si>
  <si>
    <t>Spaulding Uhs</t>
  </si>
  <si>
    <t>Barre SU</t>
  </si>
  <si>
    <t>Rivendell Interstate School</t>
  </si>
  <si>
    <t>Whit/Wilm Joint Fiscal SD</t>
  </si>
  <si>
    <t>Southwest Vt Regional Tech SD</t>
  </si>
  <si>
    <t>Hannaford Regional Tech SD</t>
  </si>
  <si>
    <t>River Valley Technical Center</t>
  </si>
  <si>
    <t>Mountain Towns Regional SD</t>
  </si>
  <si>
    <t>employer_number</t>
  </si>
  <si>
    <t>district_name</t>
  </si>
  <si>
    <t>district_contributions</t>
  </si>
  <si>
    <t>Check</t>
  </si>
  <si>
    <t>GASB 68 Number</t>
  </si>
  <si>
    <t>Summed Formulas</t>
  </si>
  <si>
    <t>Prosper Valley School</t>
  </si>
  <si>
    <t>Mt. Mansfield</t>
  </si>
  <si>
    <t>Twin Valley School District</t>
  </si>
  <si>
    <t>Barstow Unified USD</t>
  </si>
  <si>
    <t>Elmore Morristown Unified USD</t>
  </si>
  <si>
    <t>Mill River Unified USD</t>
  </si>
  <si>
    <t>Otter Valley Unified USD</t>
  </si>
  <si>
    <t>White River Valley SU</t>
  </si>
  <si>
    <t>Addison Central Unified USD</t>
  </si>
  <si>
    <t>Addison NW Unified USD</t>
  </si>
  <si>
    <t>Champlain Valley SD</t>
  </si>
  <si>
    <t>Essex Westford Ed Com UUSD</t>
  </si>
  <si>
    <t>Harwood Unified USD</t>
  </si>
  <si>
    <t>Lamoille North Modified UUSD</t>
  </si>
  <si>
    <t>Maple Run Unified SD</t>
  </si>
  <si>
    <t>Orange SW Unified USD</t>
  </si>
  <si>
    <t>Caledonia Cooperative SD</t>
  </si>
  <si>
    <t>Central VT SU</t>
  </si>
  <si>
    <t>Echo Valley Community SD</t>
  </si>
  <si>
    <t>First Branch Unified SD</t>
  </si>
  <si>
    <t>Greater Rutland County SU</t>
  </si>
  <si>
    <t>Green Mtn USD</t>
  </si>
  <si>
    <t>Kingdom East Unified USD</t>
  </si>
  <si>
    <t>Ludlow Mt Holly Unified USD</t>
  </si>
  <si>
    <t>Mettawee SD</t>
  </si>
  <si>
    <t>Montpelier Roxbury SD</t>
  </si>
  <si>
    <t>Mt Abraham Unified SD</t>
  </si>
  <si>
    <t>Mt Mansfield Modified USD</t>
  </si>
  <si>
    <t>Paine Mtn SD</t>
  </si>
  <si>
    <t>Quarry Valley Unified USD</t>
  </si>
  <si>
    <t>Rochester Stockbridge Unified</t>
  </si>
  <si>
    <t>Slate Valley Unified USD</t>
  </si>
  <si>
    <t>Southern Valley Unified USD</t>
  </si>
  <si>
    <t>Taconic And Green Regional SD</t>
  </si>
  <si>
    <t>Twin Valley Unified USD</t>
  </si>
  <si>
    <t>Wells Springs Unified USD</t>
  </si>
  <si>
    <t>White River Unified District</t>
  </si>
  <si>
    <t>Windsor Central Modified UUSD</t>
  </si>
  <si>
    <t>Barre Unified USD</t>
  </si>
  <si>
    <t>Champlain Islands Unified USD</t>
  </si>
  <si>
    <t>Enosburgh Richford Unified USD</t>
  </si>
  <si>
    <t>Lake Region Union EMSD</t>
  </si>
  <si>
    <t>Lamoille South Unified USD</t>
  </si>
  <si>
    <t>Missisquoi Valley SD</t>
  </si>
  <si>
    <t>Mount Ascutney SD</t>
  </si>
  <si>
    <t>Mt Mansfield Unified USD</t>
  </si>
  <si>
    <t>Northern Mountain Valley UUSD</t>
  </si>
  <si>
    <t>Orleans SW Union ESD</t>
  </si>
  <si>
    <t>Oxbow Unified USD</t>
  </si>
  <si>
    <t>River Valleys USD</t>
  </si>
  <si>
    <t>Southwest VT Union ESD</t>
  </si>
  <si>
    <t>Washington Central Unified USD</t>
  </si>
  <si>
    <t>West River Modified UED</t>
  </si>
  <si>
    <t>Windham NE Union ESD</t>
  </si>
  <si>
    <t>Windham SE SD</t>
  </si>
  <si>
    <t>Bennington0Rutland SU</t>
  </si>
  <si>
    <t>Caledonia 0Fed</t>
  </si>
  <si>
    <t>Southwest Vt SU 0 Title I</t>
  </si>
  <si>
    <t>Year</t>
  </si>
  <si>
    <t>Name</t>
  </si>
  <si>
    <t>LEAID</t>
  </si>
  <si>
    <t>NAME</t>
  </si>
  <si>
    <t>STNAME</t>
  </si>
  <si>
    <t>TOTALEXP</t>
  </si>
  <si>
    <t>TCURELSC</t>
  </si>
  <si>
    <t>TCURINST</t>
  </si>
  <si>
    <t>E13</t>
  </si>
  <si>
    <t>V91</t>
  </si>
  <si>
    <t>V92</t>
  </si>
  <si>
    <t>TCURSSVC</t>
  </si>
  <si>
    <t>E17</t>
  </si>
  <si>
    <t>E07</t>
  </si>
  <si>
    <t>E08</t>
  </si>
  <si>
    <t>E09</t>
  </si>
  <si>
    <t>V40</t>
  </si>
  <si>
    <t>V45</t>
  </si>
  <si>
    <t>V90</t>
  </si>
  <si>
    <t>E11</t>
  </si>
  <si>
    <t>North Country Junior UHSD #22</t>
  </si>
  <si>
    <t>Vermont</t>
  </si>
  <si>
    <t>North Country Senior UHSD #22</t>
  </si>
  <si>
    <t/>
  </si>
  <si>
    <t>state_contributions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</si>
</sst>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72" formatCode="_(* #,##0_);_(* \(#,##0\);_(* &quot;-&quot;??_);_(@_)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"/>
      <color theme="1"/>
      <name val="Times New Roman"/>
      <family val="1"/>
    </font>
    <font>
      <sz val="4"/>
      <color theme="1"/>
      <name val="Arial"/>
      <family val="2"/>
    </font>
    <font>
      <sz val="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0" fillId="0" borderId="0" xfId="0" applyFont="1"/>
    <xf numFmtId="0" fontId="7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4" fontId="8" fillId="0" borderId="0" xfId="0" applyNumberFormat="1" applyFont="1"/>
    <xf numFmtId="1" fontId="7" fillId="0" borderId="0" xfId="0" applyNumberFormat="1" applyFont="1"/>
    <xf numFmtId="0" fontId="9" fillId="0" borderId="0" xfId="0" applyFont="1"/>
    <xf numFmtId="6" fontId="0" fillId="0" borderId="0" xfId="0" applyNumberFormat="1"/>
    <xf numFmtId="6" fontId="9" fillId="0" borderId="0" xfId="0" applyNumberFormat="1" applyFont="1"/>
    <xf numFmtId="10" fontId="9" fillId="0" borderId="0" xfId="0" applyNumberFormat="1" applyFont="1"/>
    <xf numFmtId="3" fontId="9" fillId="0" borderId="0" xfId="0" applyNumberFormat="1" applyFont="1"/>
    <xf numFmtId="172" fontId="7" fillId="0" borderId="0" xfId="1" applyNumberFormat="1" applyFont="1"/>
    <xf numFmtId="1" fontId="8" fillId="0" borderId="0" xfId="0" applyNumberFormat="1" applyFont="1"/>
    <xf numFmtId="3" fontId="7" fillId="0" borderId="0" xfId="0" applyNumberFormat="1" applyFont="1"/>
    <xf numFmtId="172" fontId="8" fillId="0" borderId="0" xfId="0" applyNumberFormat="1" applyFont="1"/>
    <xf numFmtId="6" fontId="7" fillId="0" borderId="0" xfId="0" applyNumberFormat="1" applyFont="1"/>
    <xf numFmtId="0" fontId="10" fillId="0" borderId="0" xfId="0" applyFont="1"/>
    <xf numFmtId="6" fontId="10" fillId="0" borderId="0" xfId="0" applyNumberFormat="1" applyFont="1"/>
    <xf numFmtId="10" fontId="10" fillId="0" borderId="0" xfId="0" applyNumberFormat="1" applyFont="1"/>
    <xf numFmtId="3" fontId="10" fillId="0" borderId="0" xfId="0" applyNumberFormat="1" applyFont="1"/>
    <xf numFmtId="1" fontId="7" fillId="0" borderId="0" xfId="1" applyNumberFormat="1" applyFont="1"/>
    <xf numFmtId="172" fontId="8" fillId="0" borderId="0" xfId="1" applyNumberFormat="1" applyFont="1"/>
    <xf numFmtId="0" fontId="0" fillId="0" borderId="0" xfId="0" applyFill="1"/>
    <xf numFmtId="0" fontId="7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A57B-D531-2D46-B875-E8D36824D04E}">
  <sheetPr>
    <tabColor rgb="FF002060"/>
  </sheetPr>
  <dimension ref="A1:F2408"/>
  <sheetViews>
    <sheetView tabSelected="1" workbookViewId="0">
      <selection activeCell="D2" sqref="D2"/>
    </sheetView>
  </sheetViews>
  <sheetFormatPr baseColWidth="10" defaultRowHeight="16"/>
  <cols>
    <col min="3" max="3" width="30.6640625" style="10" bestFit="1" customWidth="1"/>
    <col min="4" max="4" width="18.83203125" style="15" bestFit="1" customWidth="1"/>
  </cols>
  <sheetData>
    <row r="1" spans="1:5">
      <c r="A1" t="s">
        <v>358</v>
      </c>
      <c r="B1" t="s">
        <v>356</v>
      </c>
      <c r="C1" s="10" t="s">
        <v>293</v>
      </c>
      <c r="D1" s="15" t="s">
        <v>380</v>
      </c>
      <c r="E1" t="s">
        <v>358</v>
      </c>
    </row>
    <row r="2" spans="1:5">
      <c r="A2" t="s">
        <v>379</v>
      </c>
      <c r="B2">
        <v>2015</v>
      </c>
      <c r="C2" s="10" t="s">
        <v>207</v>
      </c>
      <c r="D2" s="15">
        <v>368073.12</v>
      </c>
      <c r="E2" t="str">
        <f>IFERROR(VLOOKUP(C2,'LEAID Match'!$A$2:$B$214,2,FALSE),"")</f>
        <v/>
      </c>
    </row>
    <row r="3" spans="1:5">
      <c r="A3" t="s">
        <v>379</v>
      </c>
      <c r="B3">
        <v>2016</v>
      </c>
      <c r="C3" s="10" t="s">
        <v>207</v>
      </c>
      <c r="D3" s="15">
        <v>388128.09</v>
      </c>
      <c r="E3" t="str">
        <f>IFERROR(VLOOKUP(C3,'LEAID Match'!$A$2:$B$214,2,FALSE),"")</f>
        <v/>
      </c>
    </row>
    <row r="4" spans="1:5">
      <c r="A4" t="s">
        <v>379</v>
      </c>
      <c r="B4">
        <v>2017</v>
      </c>
      <c r="C4" s="10" t="s">
        <v>207</v>
      </c>
      <c r="D4" s="15">
        <v>405265</v>
      </c>
      <c r="E4" t="str">
        <f>IFERROR(VLOOKUP(C4,'LEAID Match'!$A$2:$B$214,2,FALSE),"")</f>
        <v/>
      </c>
    </row>
    <row r="5" spans="1:5">
      <c r="A5" t="s">
        <v>379</v>
      </c>
      <c r="B5">
        <v>2018</v>
      </c>
      <c r="C5" s="10" t="s">
        <v>207</v>
      </c>
      <c r="E5" t="str">
        <f>IFERROR(VLOOKUP(C5,'LEAID Match'!$A$2:$B$214,2,FALSE),"")</f>
        <v/>
      </c>
    </row>
    <row r="6" spans="1:5">
      <c r="A6" t="s">
        <v>379</v>
      </c>
      <c r="B6">
        <v>2019</v>
      </c>
      <c r="C6" s="10" t="s">
        <v>207</v>
      </c>
      <c r="D6" s="15">
        <v>0</v>
      </c>
      <c r="E6" t="str">
        <f>IFERROR(VLOOKUP(C6,'LEAID Match'!$A$2:$B$214,2,FALSE),"")</f>
        <v/>
      </c>
    </row>
    <row r="7" spans="1:5">
      <c r="A7" t="s">
        <v>379</v>
      </c>
      <c r="B7">
        <v>2020</v>
      </c>
      <c r="C7" s="10" t="s">
        <v>207</v>
      </c>
      <c r="D7" s="15">
        <v>0</v>
      </c>
      <c r="E7" t="str">
        <f>IFERROR(VLOOKUP(C7,'LEAID Match'!$A$2:$B$214,2,FALSE),"")</f>
        <v/>
      </c>
    </row>
    <row r="8" spans="1:5">
      <c r="A8" t="s">
        <v>379</v>
      </c>
      <c r="B8">
        <v>2021</v>
      </c>
      <c r="C8" s="10" t="s">
        <v>207</v>
      </c>
      <c r="D8" s="15">
        <v>0</v>
      </c>
      <c r="E8" t="str">
        <f>IFERROR(VLOOKUP(C8,'LEAID Match'!$A$2:$B$214,2,FALSE),"")</f>
        <v/>
      </c>
    </row>
    <row r="9" spans="1:5">
      <c r="A9" t="s">
        <v>379</v>
      </c>
      <c r="B9">
        <v>2018</v>
      </c>
      <c r="C9" s="10" t="s">
        <v>306</v>
      </c>
      <c r="D9" s="15">
        <v>2438169</v>
      </c>
      <c r="E9" t="str">
        <f>IFERROR(VLOOKUP(C9,'LEAID Match'!$A$2:$B$214,2,FALSE),"")</f>
        <v/>
      </c>
    </row>
    <row r="10" spans="1:5">
      <c r="A10" t="s">
        <v>379</v>
      </c>
      <c r="B10">
        <v>2019</v>
      </c>
      <c r="C10" s="10" t="s">
        <v>306</v>
      </c>
      <c r="D10" s="15">
        <v>2356959</v>
      </c>
      <c r="E10" t="str">
        <f>IFERROR(VLOOKUP(C10,'LEAID Match'!$A$2:$B$214,2,FALSE),"")</f>
        <v/>
      </c>
    </row>
    <row r="11" spans="1:5">
      <c r="A11" t="s">
        <v>379</v>
      </c>
      <c r="B11">
        <v>2020</v>
      </c>
      <c r="C11" s="10" t="s">
        <v>306</v>
      </c>
      <c r="D11" s="15">
        <v>2547252</v>
      </c>
      <c r="E11" t="str">
        <f>IFERROR(VLOOKUP(C11,'LEAID Match'!$A$2:$B$214,2,FALSE),"")</f>
        <v/>
      </c>
    </row>
    <row r="12" spans="1:5">
      <c r="A12" t="s">
        <v>379</v>
      </c>
      <c r="B12">
        <v>2021</v>
      </c>
      <c r="C12" s="10" t="s">
        <v>306</v>
      </c>
      <c r="D12" s="15">
        <v>2637631</v>
      </c>
      <c r="E12" t="str">
        <f>IFERROR(VLOOKUP(C12,'LEAID Match'!$A$2:$B$214,2,FALSE),"")</f>
        <v/>
      </c>
    </row>
    <row r="13" spans="1:5">
      <c r="A13" t="s">
        <v>379</v>
      </c>
      <c r="B13">
        <v>2022</v>
      </c>
      <c r="C13" s="10" t="s">
        <v>306</v>
      </c>
      <c r="D13" s="30">
        <v>6494062</v>
      </c>
      <c r="E13" t="str">
        <f>IFERROR(VLOOKUP(C13,'LEAID Match'!$A$2:$B$214,2,FALSE),"")</f>
        <v/>
      </c>
    </row>
    <row r="14" spans="1:5">
      <c r="A14" t="s">
        <v>379</v>
      </c>
      <c r="B14">
        <v>2015</v>
      </c>
      <c r="C14" s="10" t="s">
        <v>204</v>
      </c>
      <c r="D14" s="15">
        <v>230714.04</v>
      </c>
      <c r="E14" t="str">
        <f>IFERROR(VLOOKUP(C14,'LEAID Match'!$A$2:$B$214,2,FALSE),"")</f>
        <v/>
      </c>
    </row>
    <row r="15" spans="1:5">
      <c r="A15" t="s">
        <v>379</v>
      </c>
      <c r="B15">
        <v>2016</v>
      </c>
      <c r="C15" s="10" t="s">
        <v>204</v>
      </c>
      <c r="D15" s="15">
        <v>246220.22</v>
      </c>
      <c r="E15" t="str">
        <f>IFERROR(VLOOKUP(C15,'LEAID Match'!$A$2:$B$214,2,FALSE),"")</f>
        <v/>
      </c>
    </row>
    <row r="16" spans="1:5">
      <c r="A16" t="s">
        <v>379</v>
      </c>
      <c r="B16">
        <v>2017</v>
      </c>
      <c r="C16" s="10" t="s">
        <v>204</v>
      </c>
      <c r="D16" s="15">
        <v>263421</v>
      </c>
      <c r="E16" t="str">
        <f>IFERROR(VLOOKUP(C16,'LEAID Match'!$A$2:$B$214,2,FALSE),"")</f>
        <v/>
      </c>
    </row>
    <row r="17" spans="1:5">
      <c r="A17" t="s">
        <v>379</v>
      </c>
      <c r="B17">
        <v>2018</v>
      </c>
      <c r="C17" s="10" t="s">
        <v>204</v>
      </c>
      <c r="E17" t="str">
        <f>IFERROR(VLOOKUP(C17,'LEAID Match'!$A$2:$B$214,2,FALSE),"")</f>
        <v/>
      </c>
    </row>
    <row r="18" spans="1:5">
      <c r="A18" t="s">
        <v>379</v>
      </c>
      <c r="B18">
        <v>2019</v>
      </c>
      <c r="C18" s="10" t="s">
        <v>204</v>
      </c>
      <c r="D18" s="15">
        <v>0</v>
      </c>
      <c r="E18" t="str">
        <f>IFERROR(VLOOKUP(C18,'LEAID Match'!$A$2:$B$214,2,FALSE),"")</f>
        <v/>
      </c>
    </row>
    <row r="19" spans="1:5">
      <c r="A19" t="s">
        <v>379</v>
      </c>
      <c r="B19">
        <v>2020</v>
      </c>
      <c r="C19" s="10" t="s">
        <v>204</v>
      </c>
      <c r="D19" s="15">
        <v>0</v>
      </c>
      <c r="E19" t="str">
        <f>IFERROR(VLOOKUP(C19,'LEAID Match'!$A$2:$B$214,2,FALSE),"")</f>
        <v/>
      </c>
    </row>
    <row r="20" spans="1:5">
      <c r="A20" t="s">
        <v>379</v>
      </c>
      <c r="B20">
        <v>2021</v>
      </c>
      <c r="C20" s="10" t="s">
        <v>204</v>
      </c>
      <c r="D20" s="15">
        <v>0</v>
      </c>
      <c r="E20" t="str">
        <f>IFERROR(VLOOKUP(C20,'LEAID Match'!$A$2:$B$214,2,FALSE),"")</f>
        <v/>
      </c>
    </row>
    <row r="21" spans="1:5">
      <c r="A21" t="s">
        <v>379</v>
      </c>
      <c r="B21">
        <v>2018</v>
      </c>
      <c r="C21" s="10" t="s">
        <v>307</v>
      </c>
      <c r="D21" s="15">
        <v>1303544</v>
      </c>
      <c r="E21" t="str">
        <f>IFERROR(VLOOKUP(C21,'LEAID Match'!$A$2:$B$214,2,FALSE),"")</f>
        <v/>
      </c>
    </row>
    <row r="22" spans="1:5">
      <c r="A22" t="s">
        <v>379</v>
      </c>
      <c r="B22">
        <v>2019</v>
      </c>
      <c r="C22" s="10" t="s">
        <v>307</v>
      </c>
      <c r="D22" s="15">
        <v>1372296</v>
      </c>
      <c r="E22" t="str">
        <f>IFERROR(VLOOKUP(C22,'LEAID Match'!$A$2:$B$214,2,FALSE),"")</f>
        <v/>
      </c>
    </row>
    <row r="23" spans="1:5">
      <c r="A23" t="s">
        <v>379</v>
      </c>
      <c r="B23">
        <v>2020</v>
      </c>
      <c r="C23" s="10" t="s">
        <v>307</v>
      </c>
      <c r="D23" s="15">
        <v>1360802</v>
      </c>
      <c r="E23" t="str">
        <f>IFERROR(VLOOKUP(C23,'LEAID Match'!$A$2:$B$214,2,FALSE),"")</f>
        <v/>
      </c>
    </row>
    <row r="24" spans="1:5">
      <c r="A24" t="s">
        <v>379</v>
      </c>
      <c r="B24">
        <v>2021</v>
      </c>
      <c r="C24" s="10" t="s">
        <v>307</v>
      </c>
      <c r="D24" s="15">
        <v>1323092</v>
      </c>
      <c r="E24" t="str">
        <f>IFERROR(VLOOKUP(C24,'LEAID Match'!$A$2:$B$214,2,FALSE),"")</f>
        <v/>
      </c>
    </row>
    <row r="25" spans="1:5">
      <c r="A25" t="s">
        <v>379</v>
      </c>
      <c r="B25">
        <v>2022</v>
      </c>
      <c r="C25" s="10" t="s">
        <v>307</v>
      </c>
      <c r="D25" s="15">
        <v>3367013</v>
      </c>
      <c r="E25" t="str">
        <f>IFERROR(VLOOKUP(C25,'LEAID Match'!$A$2:$B$214,2,FALSE),"")</f>
        <v/>
      </c>
    </row>
    <row r="26" spans="1:5">
      <c r="A26" t="s">
        <v>379</v>
      </c>
      <c r="B26">
        <v>2015</v>
      </c>
      <c r="C26" s="10" t="s">
        <v>212</v>
      </c>
      <c r="D26" s="15">
        <v>1362.59</v>
      </c>
      <c r="E26" t="str">
        <f>IFERROR(VLOOKUP(C26,'LEAID Match'!$A$2:$B$214,2,FALSE),"")</f>
        <v/>
      </c>
    </row>
    <row r="27" spans="1:5">
      <c r="A27" t="s">
        <v>379</v>
      </c>
      <c r="B27">
        <v>2016</v>
      </c>
      <c r="C27" s="10" t="s">
        <v>212</v>
      </c>
      <c r="E27" t="str">
        <f>IFERROR(VLOOKUP(C27,'LEAID Match'!$A$2:$B$214,2,FALSE),"")</f>
        <v/>
      </c>
    </row>
    <row r="28" spans="1:5">
      <c r="A28" t="s">
        <v>379</v>
      </c>
      <c r="B28">
        <v>2017</v>
      </c>
      <c r="C28" s="10" t="s">
        <v>212</v>
      </c>
      <c r="E28" t="str">
        <f>IFERROR(VLOOKUP(C28,'LEAID Match'!$A$2:$B$214,2,FALSE),"")</f>
        <v/>
      </c>
    </row>
    <row r="29" spans="1:5">
      <c r="A29" t="s">
        <v>379</v>
      </c>
      <c r="B29">
        <v>2018</v>
      </c>
      <c r="C29" s="10" t="s">
        <v>212</v>
      </c>
      <c r="E29" t="str">
        <f>IFERROR(VLOOKUP(C29,'LEAID Match'!$A$2:$B$214,2,FALSE),"")</f>
        <v/>
      </c>
    </row>
    <row r="30" spans="1:5">
      <c r="A30" t="s">
        <v>379</v>
      </c>
      <c r="B30">
        <v>2019</v>
      </c>
      <c r="C30" s="10" t="s">
        <v>212</v>
      </c>
      <c r="D30" s="15">
        <v>0</v>
      </c>
      <c r="E30" t="str">
        <f>IFERROR(VLOOKUP(C30,'LEAID Match'!$A$2:$B$214,2,FALSE),"")</f>
        <v/>
      </c>
    </row>
    <row r="31" spans="1:5">
      <c r="A31" t="s">
        <v>379</v>
      </c>
      <c r="B31">
        <v>2020</v>
      </c>
      <c r="C31" s="10" t="s">
        <v>336</v>
      </c>
      <c r="D31" s="15">
        <v>3148844</v>
      </c>
      <c r="E31" t="str">
        <f>IFERROR(VLOOKUP(C31,'LEAID Match'!$A$2:$B$214,2,FALSE),"")</f>
        <v/>
      </c>
    </row>
    <row r="32" spans="1:5">
      <c r="A32" t="s">
        <v>379</v>
      </c>
      <c r="B32">
        <v>2021</v>
      </c>
      <c r="C32" s="10" t="s">
        <v>336</v>
      </c>
      <c r="D32" s="15">
        <v>3251765</v>
      </c>
      <c r="E32" t="str">
        <f>IFERROR(VLOOKUP(C32,'LEAID Match'!$A$2:$B$214,2,FALSE),"")</f>
        <v/>
      </c>
    </row>
    <row r="33" spans="1:5">
      <c r="A33" t="s">
        <v>379</v>
      </c>
      <c r="B33">
        <v>2022</v>
      </c>
      <c r="C33" s="10" t="s">
        <v>336</v>
      </c>
      <c r="D33" s="15">
        <v>8046178</v>
      </c>
      <c r="E33" t="str">
        <f>IFERROR(VLOOKUP(C33,'LEAID Match'!$A$2:$B$214,2,FALSE),"")</f>
        <v/>
      </c>
    </row>
    <row r="34" spans="1:5">
      <c r="A34" t="s">
        <v>379</v>
      </c>
      <c r="B34">
        <v>2015</v>
      </c>
      <c r="C34" s="10" t="s">
        <v>209</v>
      </c>
      <c r="D34" s="15">
        <v>121062.37</v>
      </c>
      <c r="E34" t="str">
        <f>IFERROR(VLOOKUP(C34,'LEAID Match'!$A$2:$B$214,2,FALSE),"")</f>
        <v/>
      </c>
    </row>
    <row r="35" spans="1:5">
      <c r="A35" t="s">
        <v>379</v>
      </c>
      <c r="B35">
        <v>2016</v>
      </c>
      <c r="C35" s="10" t="s">
        <v>209</v>
      </c>
      <c r="D35" s="15">
        <v>139052.6</v>
      </c>
      <c r="E35" t="str">
        <f>IFERROR(VLOOKUP(C35,'LEAID Match'!$A$2:$B$214,2,FALSE),"")</f>
        <v/>
      </c>
    </row>
    <row r="36" spans="1:5">
      <c r="A36" t="s">
        <v>379</v>
      </c>
      <c r="B36">
        <v>2017</v>
      </c>
      <c r="C36" s="10" t="s">
        <v>209</v>
      </c>
      <c r="E36" t="str">
        <f>IFERROR(VLOOKUP(C36,'LEAID Match'!$A$2:$B$214,2,FALSE),"")</f>
        <v/>
      </c>
    </row>
    <row r="37" spans="1:5">
      <c r="A37" t="s">
        <v>379</v>
      </c>
      <c r="B37">
        <v>2018</v>
      </c>
      <c r="C37" s="10" t="s">
        <v>209</v>
      </c>
      <c r="E37" t="str">
        <f>IFERROR(VLOOKUP(C37,'LEAID Match'!$A$2:$B$214,2,FALSE),"")</f>
        <v/>
      </c>
    </row>
    <row r="38" spans="1:5">
      <c r="A38" t="s">
        <v>379</v>
      </c>
      <c r="B38">
        <v>2019</v>
      </c>
      <c r="C38" s="10" t="s">
        <v>209</v>
      </c>
      <c r="D38" s="15">
        <v>0</v>
      </c>
      <c r="E38" t="str">
        <f>IFERROR(VLOOKUP(C38,'LEAID Match'!$A$2:$B$214,2,FALSE),"")</f>
        <v/>
      </c>
    </row>
    <row r="39" spans="1:5">
      <c r="A39" t="s">
        <v>379</v>
      </c>
      <c r="B39">
        <v>2020</v>
      </c>
      <c r="C39" s="10" t="s">
        <v>209</v>
      </c>
      <c r="D39" s="15">
        <v>0</v>
      </c>
      <c r="E39" t="str">
        <f>IFERROR(VLOOKUP(C39,'LEAID Match'!$A$2:$B$214,2,FALSE),"")</f>
        <v/>
      </c>
    </row>
    <row r="40" spans="1:5">
      <c r="A40" t="s">
        <v>379</v>
      </c>
      <c r="B40">
        <v>2017</v>
      </c>
      <c r="C40" s="10" t="s">
        <v>301</v>
      </c>
      <c r="D40" s="15">
        <v>158748</v>
      </c>
      <c r="E40" t="str">
        <f>IFERROR(VLOOKUP(C40,'LEAID Match'!$A$2:$B$214,2,FALSE),"")</f>
        <v/>
      </c>
    </row>
    <row r="41" spans="1:5">
      <c r="A41" t="s">
        <v>379</v>
      </c>
      <c r="B41">
        <v>2018</v>
      </c>
      <c r="C41" s="10" t="s">
        <v>301</v>
      </c>
      <c r="D41" s="15">
        <v>198520</v>
      </c>
      <c r="E41" t="str">
        <f>IFERROR(VLOOKUP(C41,'LEAID Match'!$A$2:$B$214,2,FALSE),"")</f>
        <v/>
      </c>
    </row>
    <row r="42" spans="1:5">
      <c r="A42" t="s">
        <v>379</v>
      </c>
      <c r="B42">
        <v>2019</v>
      </c>
      <c r="C42" s="10" t="s">
        <v>301</v>
      </c>
      <c r="D42" s="15">
        <v>186522</v>
      </c>
      <c r="E42" t="str">
        <f>IFERROR(VLOOKUP(C42,'LEAID Match'!$A$2:$B$214,2,FALSE),"")</f>
        <v/>
      </c>
    </row>
    <row r="43" spans="1:5">
      <c r="A43" t="s">
        <v>379</v>
      </c>
      <c r="B43">
        <v>2020</v>
      </c>
      <c r="C43" s="10" t="s">
        <v>301</v>
      </c>
      <c r="D43" s="15">
        <v>193700</v>
      </c>
      <c r="E43" t="str">
        <f>IFERROR(VLOOKUP(C43,'LEAID Match'!$A$2:$B$214,2,FALSE),"")</f>
        <v/>
      </c>
    </row>
    <row r="44" spans="1:5">
      <c r="A44" t="s">
        <v>379</v>
      </c>
      <c r="B44">
        <v>2021</v>
      </c>
      <c r="C44" s="10" t="s">
        <v>301</v>
      </c>
      <c r="D44" s="15">
        <v>218114</v>
      </c>
      <c r="E44" t="str">
        <f>IFERROR(VLOOKUP(C44,'LEAID Match'!$A$2:$B$214,2,FALSE),"")</f>
        <v/>
      </c>
    </row>
    <row r="45" spans="1:5">
      <c r="A45" t="s">
        <v>379</v>
      </c>
      <c r="B45">
        <v>2022</v>
      </c>
      <c r="C45" s="10" t="s">
        <v>301</v>
      </c>
      <c r="D45" s="15">
        <v>495529</v>
      </c>
      <c r="E45" t="str">
        <f>IFERROR(VLOOKUP(C45,'LEAID Match'!$A$2:$B$214,2,FALSE),"")</f>
        <v/>
      </c>
    </row>
    <row r="46" spans="1:5">
      <c r="A46" t="s">
        <v>379</v>
      </c>
      <c r="B46">
        <v>2015</v>
      </c>
      <c r="C46" s="10" t="s">
        <v>196</v>
      </c>
      <c r="D46" s="15">
        <v>1047142.18</v>
      </c>
      <c r="E46" t="str">
        <f>IFERROR(VLOOKUP(C46,'LEAID Match'!$A$2:$B$214,2,FALSE),"")</f>
        <v/>
      </c>
    </row>
    <row r="47" spans="1:5">
      <c r="A47" t="s">
        <v>379</v>
      </c>
      <c r="B47">
        <v>2016</v>
      </c>
      <c r="C47" s="10" t="s">
        <v>196</v>
      </c>
      <c r="D47" s="15">
        <v>849598.18</v>
      </c>
      <c r="E47" t="str">
        <f>IFERROR(VLOOKUP(C47,'LEAID Match'!$A$2:$B$214,2,FALSE),"")</f>
        <v/>
      </c>
    </row>
    <row r="48" spans="1:5">
      <c r="A48" t="s">
        <v>379</v>
      </c>
      <c r="B48">
        <v>2017</v>
      </c>
      <c r="C48" s="10" t="s">
        <v>196</v>
      </c>
      <c r="D48" s="15">
        <v>865456</v>
      </c>
      <c r="E48" t="str">
        <f>IFERROR(VLOOKUP(C48,'LEAID Match'!$A$2:$B$214,2,FALSE),"")</f>
        <v/>
      </c>
    </row>
    <row r="49" spans="1:5">
      <c r="A49" t="s">
        <v>379</v>
      </c>
      <c r="B49">
        <v>2018</v>
      </c>
      <c r="C49" s="10" t="s">
        <v>196</v>
      </c>
      <c r="E49" t="str">
        <f>IFERROR(VLOOKUP(C49,'LEAID Match'!$A$2:$B$214,2,FALSE),"")</f>
        <v/>
      </c>
    </row>
    <row r="50" spans="1:5">
      <c r="A50" t="s">
        <v>379</v>
      </c>
      <c r="B50">
        <v>2019</v>
      </c>
      <c r="C50" s="10" t="s">
        <v>196</v>
      </c>
      <c r="D50" s="15">
        <v>0</v>
      </c>
      <c r="E50" t="str">
        <f>IFERROR(VLOOKUP(C50,'LEAID Match'!$A$2:$B$214,2,FALSE),"")</f>
        <v/>
      </c>
    </row>
    <row r="51" spans="1:5">
      <c r="A51" t="s">
        <v>379</v>
      </c>
      <c r="B51">
        <v>2020</v>
      </c>
      <c r="C51" s="10" t="s">
        <v>196</v>
      </c>
      <c r="D51" s="15">
        <v>0</v>
      </c>
      <c r="E51" t="str">
        <f>IFERROR(VLOOKUP(C51,'LEAID Match'!$A$2:$B$214,2,FALSE),"")</f>
        <v/>
      </c>
    </row>
    <row r="52" spans="1:5">
      <c r="A52" t="s">
        <v>379</v>
      </c>
      <c r="B52">
        <v>2021</v>
      </c>
      <c r="C52" s="10" t="s">
        <v>196</v>
      </c>
      <c r="D52" s="15">
        <v>0</v>
      </c>
      <c r="E52" t="str">
        <f>IFERROR(VLOOKUP(C52,'LEAID Match'!$A$2:$B$214,2,FALSE),"")</f>
        <v/>
      </c>
    </row>
    <row r="53" spans="1:5">
      <c r="A53" t="s">
        <v>379</v>
      </c>
      <c r="B53">
        <v>2015</v>
      </c>
      <c r="C53" s="10" t="s">
        <v>15</v>
      </c>
      <c r="D53" s="15">
        <v>28131.89</v>
      </c>
      <c r="E53" t="str">
        <f>IFERROR(VLOOKUP(C53,'LEAID Match'!$A$2:$B$214,2,FALSE),"")</f>
        <v/>
      </c>
    </row>
    <row r="54" spans="1:5">
      <c r="A54" t="s">
        <v>379</v>
      </c>
      <c r="B54">
        <v>2016</v>
      </c>
      <c r="C54" s="10" t="s">
        <v>15</v>
      </c>
      <c r="D54" s="15">
        <v>0</v>
      </c>
      <c r="E54" t="str">
        <f>IFERROR(VLOOKUP(C54,'LEAID Match'!$A$2:$B$214,2,FALSE),"")</f>
        <v/>
      </c>
    </row>
    <row r="55" spans="1:5">
      <c r="A55" t="s">
        <v>379</v>
      </c>
      <c r="B55">
        <v>2017</v>
      </c>
      <c r="C55" s="10" t="s">
        <v>15</v>
      </c>
      <c r="E55" t="str">
        <f>IFERROR(VLOOKUP(C55,'LEAID Match'!$A$2:$B$214,2,FALSE),"")</f>
        <v/>
      </c>
    </row>
    <row r="56" spans="1:5">
      <c r="A56" t="s">
        <v>379</v>
      </c>
      <c r="B56">
        <v>2018</v>
      </c>
      <c r="C56" s="10" t="s">
        <v>15</v>
      </c>
      <c r="E56" t="str">
        <f>IFERROR(VLOOKUP(C56,'LEAID Match'!$A$2:$B$214,2,FALSE),"")</f>
        <v/>
      </c>
    </row>
    <row r="57" spans="1:5">
      <c r="A57" t="s">
        <v>379</v>
      </c>
      <c r="B57">
        <v>2019</v>
      </c>
      <c r="C57" s="10" t="s">
        <v>15</v>
      </c>
      <c r="D57" s="15">
        <v>0</v>
      </c>
      <c r="E57" t="str">
        <f>IFERROR(VLOOKUP(C57,'LEAID Match'!$A$2:$B$214,2,FALSE),"")</f>
        <v/>
      </c>
    </row>
    <row r="58" spans="1:5">
      <c r="A58" t="s">
        <v>379</v>
      </c>
      <c r="B58">
        <v>2015</v>
      </c>
      <c r="C58" s="10" t="s">
        <v>17</v>
      </c>
      <c r="D58" s="15">
        <v>43590.239999999998</v>
      </c>
      <c r="E58" t="str">
        <f>IFERROR(VLOOKUP(C58,'LEAID Match'!$A$2:$B$214,2,FALSE),"")</f>
        <v/>
      </c>
    </row>
    <row r="59" spans="1:5">
      <c r="A59" t="s">
        <v>379</v>
      </c>
      <c r="B59">
        <v>2016</v>
      </c>
      <c r="C59" s="10" t="s">
        <v>17</v>
      </c>
      <c r="D59" s="15">
        <v>49460.98</v>
      </c>
      <c r="E59" t="str">
        <f>IFERROR(VLOOKUP(C59,'LEAID Match'!$A$2:$B$214,2,FALSE),"")</f>
        <v/>
      </c>
    </row>
    <row r="60" spans="1:5">
      <c r="A60" t="s">
        <v>379</v>
      </c>
      <c r="B60">
        <v>2017</v>
      </c>
      <c r="C60" s="10" t="s">
        <v>17</v>
      </c>
      <c r="D60" s="15">
        <v>48411</v>
      </c>
      <c r="E60" t="str">
        <f>IFERROR(VLOOKUP(C60,'LEAID Match'!$A$2:$B$214,2,FALSE),"")</f>
        <v/>
      </c>
    </row>
    <row r="61" spans="1:5">
      <c r="A61" t="s">
        <v>379</v>
      </c>
      <c r="B61">
        <v>2018</v>
      </c>
      <c r="C61" s="10" t="s">
        <v>17</v>
      </c>
      <c r="E61" t="str">
        <f>IFERROR(VLOOKUP(C61,'LEAID Match'!$A$2:$B$214,2,FALSE),"")</f>
        <v/>
      </c>
    </row>
    <row r="62" spans="1:5">
      <c r="A62" t="s">
        <v>379</v>
      </c>
      <c r="B62">
        <v>2019</v>
      </c>
      <c r="C62" s="10" t="s">
        <v>17</v>
      </c>
      <c r="D62" s="15">
        <v>0</v>
      </c>
      <c r="E62" t="str">
        <f>IFERROR(VLOOKUP(C62,'LEAID Match'!$A$2:$B$214,2,FALSE),"")</f>
        <v/>
      </c>
    </row>
    <row r="63" spans="1:5">
      <c r="A63" t="s">
        <v>379</v>
      </c>
      <c r="B63">
        <v>2020</v>
      </c>
      <c r="C63" s="10" t="s">
        <v>17</v>
      </c>
      <c r="D63" s="15">
        <v>0</v>
      </c>
      <c r="E63" t="str">
        <f>IFERROR(VLOOKUP(C63,'LEAID Match'!$A$2:$B$214,2,FALSE),"")</f>
        <v/>
      </c>
    </row>
    <row r="64" spans="1:5">
      <c r="A64" t="s">
        <v>379</v>
      </c>
      <c r="B64">
        <v>2021</v>
      </c>
      <c r="C64" s="10" t="s">
        <v>17</v>
      </c>
      <c r="D64" s="15">
        <v>0</v>
      </c>
      <c r="E64" t="str">
        <f>IFERROR(VLOOKUP(C64,'LEAID Match'!$A$2:$B$214,2,FALSE),"")</f>
        <v/>
      </c>
    </row>
    <row r="65" spans="1:5">
      <c r="A65" t="s">
        <v>379</v>
      </c>
      <c r="B65">
        <v>2015</v>
      </c>
      <c r="C65" s="10" t="s">
        <v>18</v>
      </c>
      <c r="D65" s="15">
        <v>216505.46</v>
      </c>
      <c r="E65" t="str">
        <f>IFERROR(VLOOKUP(C65,'LEAID Match'!$A$2:$B$214,2,FALSE),"")</f>
        <v/>
      </c>
    </row>
    <row r="66" spans="1:5">
      <c r="A66" t="s">
        <v>379</v>
      </c>
      <c r="B66">
        <v>2016</v>
      </c>
      <c r="C66" s="10" t="s">
        <v>18</v>
      </c>
      <c r="D66" s="15">
        <v>223363.43</v>
      </c>
      <c r="E66" t="str">
        <f>IFERROR(VLOOKUP(C66,'LEAID Match'!$A$2:$B$214,2,FALSE),"")</f>
        <v/>
      </c>
    </row>
    <row r="67" spans="1:5">
      <c r="A67" t="s">
        <v>379</v>
      </c>
      <c r="B67">
        <v>2017</v>
      </c>
      <c r="C67" s="10" t="s">
        <v>18</v>
      </c>
      <c r="E67" t="str">
        <f>IFERROR(VLOOKUP(C67,'LEAID Match'!$A$2:$B$214,2,FALSE),"")</f>
        <v/>
      </c>
    </row>
    <row r="68" spans="1:5">
      <c r="A68" t="s">
        <v>379</v>
      </c>
      <c r="B68">
        <v>2018</v>
      </c>
      <c r="C68" s="10" t="s">
        <v>18</v>
      </c>
      <c r="E68" t="str">
        <f>IFERROR(VLOOKUP(C68,'LEAID Match'!$A$2:$B$214,2,FALSE),"")</f>
        <v/>
      </c>
    </row>
    <row r="69" spans="1:5">
      <c r="A69" t="s">
        <v>379</v>
      </c>
      <c r="B69">
        <v>2019</v>
      </c>
      <c r="C69" s="10" t="s">
        <v>18</v>
      </c>
      <c r="D69" s="15">
        <v>0</v>
      </c>
      <c r="E69" t="str">
        <f>IFERROR(VLOOKUP(C69,'LEAID Match'!$A$2:$B$214,2,FALSE),"")</f>
        <v/>
      </c>
    </row>
    <row r="70" spans="1:5">
      <c r="A70" t="s">
        <v>379</v>
      </c>
      <c r="B70">
        <v>2020</v>
      </c>
      <c r="C70" s="10" t="s">
        <v>18</v>
      </c>
      <c r="D70" s="15">
        <v>0</v>
      </c>
      <c r="E70" t="str">
        <f>IFERROR(VLOOKUP(C70,'LEAID Match'!$A$2:$B$214,2,FALSE),"")</f>
        <v/>
      </c>
    </row>
    <row r="71" spans="1:5">
      <c r="A71" t="s">
        <v>379</v>
      </c>
      <c r="B71">
        <v>2015</v>
      </c>
      <c r="C71" s="10" t="s">
        <v>20</v>
      </c>
      <c r="D71" s="15">
        <v>6424.3</v>
      </c>
      <c r="E71" t="str">
        <f>IFERROR(VLOOKUP(C71,'LEAID Match'!$A$2:$B$214,2,FALSE),"")</f>
        <v/>
      </c>
    </row>
    <row r="72" spans="1:5">
      <c r="A72" t="s">
        <v>379</v>
      </c>
      <c r="B72">
        <v>2016</v>
      </c>
      <c r="C72" s="10" t="s">
        <v>20</v>
      </c>
      <c r="E72" t="str">
        <f>IFERROR(VLOOKUP(C72,'LEAID Match'!$A$2:$B$214,2,FALSE),"")</f>
        <v/>
      </c>
    </row>
    <row r="73" spans="1:5">
      <c r="A73" t="s">
        <v>379</v>
      </c>
      <c r="B73">
        <v>2017</v>
      </c>
      <c r="C73" s="10" t="s">
        <v>20</v>
      </c>
      <c r="E73" t="str">
        <f>IFERROR(VLOOKUP(C73,'LEAID Match'!$A$2:$B$214,2,FALSE),"")</f>
        <v/>
      </c>
    </row>
    <row r="74" spans="1:5">
      <c r="A74" t="s">
        <v>379</v>
      </c>
      <c r="B74">
        <v>2018</v>
      </c>
      <c r="C74" s="10" t="s">
        <v>20</v>
      </c>
      <c r="E74" t="str">
        <f>IFERROR(VLOOKUP(C74,'LEAID Match'!$A$2:$B$214,2,FALSE),"")</f>
        <v/>
      </c>
    </row>
    <row r="75" spans="1:5">
      <c r="A75" t="s">
        <v>379</v>
      </c>
      <c r="B75">
        <v>2019</v>
      </c>
      <c r="C75" s="10" t="s">
        <v>20</v>
      </c>
      <c r="D75" s="15">
        <v>0</v>
      </c>
      <c r="E75" t="str">
        <f>IFERROR(VLOOKUP(C75,'LEAID Match'!$A$2:$B$214,2,FALSE),"")</f>
        <v/>
      </c>
    </row>
    <row r="76" spans="1:5">
      <c r="A76" t="s">
        <v>379</v>
      </c>
      <c r="B76">
        <v>2015</v>
      </c>
      <c r="C76" s="10" t="s">
        <v>21</v>
      </c>
      <c r="D76" s="15">
        <v>34522.99</v>
      </c>
      <c r="E76" t="str">
        <f>IFERROR(VLOOKUP(C76,'LEAID Match'!$A$2:$B$214,2,FALSE),"")</f>
        <v/>
      </c>
    </row>
    <row r="77" spans="1:5">
      <c r="A77" t="s">
        <v>379</v>
      </c>
      <c r="B77">
        <v>2016</v>
      </c>
      <c r="C77" s="10" t="s">
        <v>21</v>
      </c>
      <c r="D77" s="15">
        <v>55894.5</v>
      </c>
      <c r="E77" t="str">
        <f>IFERROR(VLOOKUP(C77,'LEAID Match'!$A$2:$B$214,2,FALSE),"")</f>
        <v/>
      </c>
    </row>
    <row r="78" spans="1:5">
      <c r="A78" t="s">
        <v>379</v>
      </c>
      <c r="B78">
        <v>2017</v>
      </c>
      <c r="C78" s="10" t="s">
        <v>21</v>
      </c>
      <c r="D78" s="15">
        <v>65937</v>
      </c>
      <c r="E78" t="str">
        <f>IFERROR(VLOOKUP(C78,'LEAID Match'!$A$2:$B$214,2,FALSE),"")</f>
        <v/>
      </c>
    </row>
    <row r="79" spans="1:5">
      <c r="A79" t="s">
        <v>379</v>
      </c>
      <c r="B79">
        <v>2018</v>
      </c>
      <c r="C79" s="10" t="s">
        <v>21</v>
      </c>
      <c r="E79" t="str">
        <f>IFERROR(VLOOKUP(C79,'LEAID Match'!$A$2:$B$214,2,FALSE),"")</f>
        <v/>
      </c>
    </row>
    <row r="80" spans="1:5">
      <c r="A80" t="s">
        <v>379</v>
      </c>
      <c r="B80">
        <v>2019</v>
      </c>
      <c r="C80" s="10" t="s">
        <v>21</v>
      </c>
      <c r="D80" s="15">
        <v>0</v>
      </c>
      <c r="E80" t="str">
        <f>IFERROR(VLOOKUP(C80,'LEAID Match'!$A$2:$B$214,2,FALSE),"")</f>
        <v/>
      </c>
    </row>
    <row r="81" spans="1:5">
      <c r="A81" t="s">
        <v>379</v>
      </c>
      <c r="B81">
        <v>2020</v>
      </c>
      <c r="C81" s="10" t="s">
        <v>21</v>
      </c>
      <c r="D81" s="15">
        <v>0</v>
      </c>
      <c r="E81" t="str">
        <f>IFERROR(VLOOKUP(C81,'LEAID Match'!$A$2:$B$214,2,FALSE),"")</f>
        <v/>
      </c>
    </row>
    <row r="82" spans="1:5">
      <c r="A82" t="s">
        <v>379</v>
      </c>
      <c r="B82">
        <v>2021</v>
      </c>
      <c r="C82" s="10" t="s">
        <v>21</v>
      </c>
      <c r="D82" s="15">
        <v>0</v>
      </c>
      <c r="E82" t="str">
        <f>IFERROR(VLOOKUP(C82,'LEAID Match'!$A$2:$B$214,2,FALSE),"")</f>
        <v/>
      </c>
    </row>
    <row r="83" spans="1:5">
      <c r="A83" t="s">
        <v>379</v>
      </c>
      <c r="B83">
        <v>2015</v>
      </c>
      <c r="C83" s="10" t="s">
        <v>24</v>
      </c>
      <c r="D83" s="15">
        <v>40671.449999999997</v>
      </c>
      <c r="E83" t="str">
        <f>IFERROR(VLOOKUP(C83,'LEAID Match'!$A$2:$B$214,2,FALSE),"")</f>
        <v/>
      </c>
    </row>
    <row r="84" spans="1:5">
      <c r="A84" t="s">
        <v>379</v>
      </c>
      <c r="B84">
        <v>2016</v>
      </c>
      <c r="C84" s="10" t="s">
        <v>24</v>
      </c>
      <c r="D84" s="15">
        <v>39770.6</v>
      </c>
      <c r="E84" t="str">
        <f>IFERROR(VLOOKUP(C84,'LEAID Match'!$A$2:$B$214,2,FALSE),"")</f>
        <v/>
      </c>
    </row>
    <row r="85" spans="1:5">
      <c r="A85" t="s">
        <v>379</v>
      </c>
      <c r="B85">
        <v>2017</v>
      </c>
      <c r="C85" s="10" t="s">
        <v>24</v>
      </c>
      <c r="D85" s="15">
        <v>38686</v>
      </c>
      <c r="E85" t="str">
        <f>IFERROR(VLOOKUP(C85,'LEAID Match'!$A$2:$B$214,2,FALSE),"")</f>
        <v/>
      </c>
    </row>
    <row r="86" spans="1:5">
      <c r="A86" t="s">
        <v>379</v>
      </c>
      <c r="B86">
        <v>2018</v>
      </c>
      <c r="C86" s="10" t="s">
        <v>24</v>
      </c>
      <c r="E86" t="str">
        <f>IFERROR(VLOOKUP(C86,'LEAID Match'!$A$2:$B$214,2,FALSE),"")</f>
        <v/>
      </c>
    </row>
    <row r="87" spans="1:5">
      <c r="A87" t="s">
        <v>379</v>
      </c>
      <c r="B87">
        <v>2019</v>
      </c>
      <c r="C87" s="10" t="s">
        <v>24</v>
      </c>
      <c r="D87" s="15">
        <v>0</v>
      </c>
      <c r="E87" t="str">
        <f>IFERROR(VLOOKUP(C87,'LEAID Match'!$A$2:$B$214,2,FALSE),"")</f>
        <v/>
      </c>
    </row>
    <row r="88" spans="1:5">
      <c r="A88" t="s">
        <v>379</v>
      </c>
      <c r="B88">
        <v>2020</v>
      </c>
      <c r="C88" s="10" t="s">
        <v>24</v>
      </c>
      <c r="D88" s="15">
        <v>0</v>
      </c>
      <c r="E88" t="str">
        <f>IFERROR(VLOOKUP(C88,'LEAID Match'!$A$2:$B$214,2,FALSE),"")</f>
        <v/>
      </c>
    </row>
    <row r="89" spans="1:5">
      <c r="A89" t="s">
        <v>379</v>
      </c>
      <c r="B89">
        <v>2021</v>
      </c>
      <c r="C89" s="10" t="s">
        <v>24</v>
      </c>
      <c r="D89" s="15">
        <v>0</v>
      </c>
      <c r="E89" t="str">
        <f>IFERROR(VLOOKUP(C89,'LEAID Match'!$A$2:$B$214,2,FALSE),"")</f>
        <v/>
      </c>
    </row>
    <row r="90" spans="1:5">
      <c r="A90" t="s">
        <v>379</v>
      </c>
      <c r="B90">
        <v>2019</v>
      </c>
      <c r="C90" s="10" t="s">
        <v>314</v>
      </c>
      <c r="D90" s="15">
        <v>477513</v>
      </c>
      <c r="E90" t="str">
        <f>IFERROR(VLOOKUP(C90,'LEAID Match'!$A$2:$B$214,2,FALSE),"")</f>
        <v/>
      </c>
    </row>
    <row r="91" spans="1:5">
      <c r="A91" t="s">
        <v>379</v>
      </c>
      <c r="B91">
        <v>2020</v>
      </c>
      <c r="C91" s="10" t="s">
        <v>314</v>
      </c>
      <c r="D91" s="15">
        <v>567074</v>
      </c>
      <c r="E91" t="str">
        <f>IFERROR(VLOOKUP(C91,'LEAID Match'!$A$2:$B$214,2,FALSE),"")</f>
        <v/>
      </c>
    </row>
    <row r="92" spans="1:5">
      <c r="A92" t="s">
        <v>379</v>
      </c>
      <c r="B92">
        <v>2021</v>
      </c>
      <c r="C92" s="10" t="s">
        <v>314</v>
      </c>
      <c r="D92" s="15">
        <v>556377</v>
      </c>
      <c r="E92" t="str">
        <f>IFERROR(VLOOKUP(C92,'LEAID Match'!$A$2:$B$214,2,FALSE),"")</f>
        <v/>
      </c>
    </row>
    <row r="93" spans="1:5">
      <c r="A93" t="s">
        <v>379</v>
      </c>
      <c r="B93">
        <v>2022</v>
      </c>
      <c r="C93" s="10" t="s">
        <v>314</v>
      </c>
      <c r="D93" s="15">
        <v>1338716</v>
      </c>
      <c r="E93" t="str">
        <f>IFERROR(VLOOKUP(C93,'LEAID Match'!$A$2:$B$214,2,FALSE),"")</f>
        <v/>
      </c>
    </row>
    <row r="94" spans="1:5">
      <c r="A94" t="s">
        <v>379</v>
      </c>
      <c r="B94">
        <v>2019</v>
      </c>
      <c r="C94" s="10" t="s">
        <v>315</v>
      </c>
      <c r="D94" s="15">
        <v>384190</v>
      </c>
      <c r="E94" t="str">
        <f>IFERROR(VLOOKUP(C94,'LEAID Match'!$A$2:$B$214,2,FALSE),"")</f>
        <v/>
      </c>
    </row>
    <row r="95" spans="1:5">
      <c r="A95" t="s">
        <v>379</v>
      </c>
      <c r="B95">
        <v>2020</v>
      </c>
      <c r="C95" s="10" t="s">
        <v>315</v>
      </c>
      <c r="D95" s="15">
        <v>436459</v>
      </c>
      <c r="E95" t="str">
        <f>IFERROR(VLOOKUP(C95,'LEAID Match'!$A$2:$B$214,2,FALSE),"")</f>
        <v/>
      </c>
    </row>
    <row r="96" spans="1:5">
      <c r="A96" t="s">
        <v>379</v>
      </c>
      <c r="B96">
        <v>2021</v>
      </c>
      <c r="C96" s="10" t="s">
        <v>315</v>
      </c>
      <c r="D96" s="15">
        <v>452363</v>
      </c>
      <c r="E96" t="str">
        <f>IFERROR(VLOOKUP(C96,'LEAID Match'!$A$2:$B$214,2,FALSE),"")</f>
        <v/>
      </c>
    </row>
    <row r="97" spans="1:5">
      <c r="A97" t="s">
        <v>379</v>
      </c>
      <c r="B97">
        <v>2022</v>
      </c>
      <c r="C97" s="10" t="s">
        <v>315</v>
      </c>
      <c r="D97" s="15">
        <v>1261617</v>
      </c>
      <c r="E97" t="str">
        <f>IFERROR(VLOOKUP(C97,'LEAID Match'!$A$2:$B$214,2,FALSE),"")</f>
        <v/>
      </c>
    </row>
    <row r="98" spans="1:5">
      <c r="A98" t="s">
        <v>379</v>
      </c>
      <c r="B98">
        <v>2020</v>
      </c>
      <c r="C98" s="10" t="s">
        <v>337</v>
      </c>
      <c r="D98" s="15">
        <v>290799</v>
      </c>
      <c r="E98" t="str">
        <f>IFERROR(VLOOKUP(C98,'LEAID Match'!$A$2:$B$214,2,FALSE),"")</f>
        <v/>
      </c>
    </row>
    <row r="99" spans="1:5">
      <c r="A99" t="s">
        <v>379</v>
      </c>
      <c r="B99">
        <v>2021</v>
      </c>
      <c r="C99" s="10" t="s">
        <v>337</v>
      </c>
      <c r="D99" s="15">
        <v>261763</v>
      </c>
      <c r="E99" t="str">
        <f>IFERROR(VLOOKUP(C99,'LEAID Match'!$A$2:$B$214,2,FALSE),"")</f>
        <v/>
      </c>
    </row>
    <row r="100" spans="1:5">
      <c r="A100" t="s">
        <v>379</v>
      </c>
      <c r="B100">
        <v>2022</v>
      </c>
      <c r="C100" s="10" t="s">
        <v>337</v>
      </c>
      <c r="D100" s="15">
        <v>676366</v>
      </c>
      <c r="E100" t="str">
        <f>IFERROR(VLOOKUP(C100,'LEAID Match'!$A$2:$B$214,2,FALSE),"")</f>
        <v/>
      </c>
    </row>
    <row r="101" spans="1:5">
      <c r="A101" t="s">
        <v>379</v>
      </c>
      <c r="B101">
        <v>2018</v>
      </c>
      <c r="C101" s="10" t="s">
        <v>308</v>
      </c>
      <c r="D101" s="15">
        <v>5257410</v>
      </c>
      <c r="E101" t="str">
        <f>IFERROR(VLOOKUP(C101,'LEAID Match'!$A$2:$B$214,2,FALSE),"")</f>
        <v/>
      </c>
    </row>
    <row r="102" spans="1:5">
      <c r="A102" t="s">
        <v>379</v>
      </c>
      <c r="B102">
        <v>2019</v>
      </c>
      <c r="C102" s="10" t="s">
        <v>308</v>
      </c>
      <c r="D102" s="15">
        <v>5426514</v>
      </c>
      <c r="E102" t="str">
        <f>IFERROR(VLOOKUP(C102,'LEAID Match'!$A$2:$B$214,2,FALSE),"")</f>
        <v/>
      </c>
    </row>
    <row r="103" spans="1:5">
      <c r="A103" t="s">
        <v>379</v>
      </c>
      <c r="B103">
        <v>2020</v>
      </c>
      <c r="C103" s="10" t="s">
        <v>308</v>
      </c>
      <c r="D103" s="15">
        <v>5739222</v>
      </c>
      <c r="E103" t="str">
        <f>IFERROR(VLOOKUP(C103,'LEAID Match'!$A$2:$B$214,2,FALSE),"")</f>
        <v/>
      </c>
    </row>
    <row r="104" spans="1:5">
      <c r="A104" t="s">
        <v>379</v>
      </c>
      <c r="B104">
        <v>2021</v>
      </c>
      <c r="C104" s="10" t="s">
        <v>308</v>
      </c>
      <c r="D104" s="15">
        <v>6253217</v>
      </c>
      <c r="E104" t="str">
        <f>IFERROR(VLOOKUP(C104,'LEAID Match'!$A$2:$B$214,2,FALSE),"")</f>
        <v/>
      </c>
    </row>
    <row r="105" spans="1:5">
      <c r="A105" t="s">
        <v>379</v>
      </c>
      <c r="B105">
        <v>2022</v>
      </c>
      <c r="C105" s="10" t="s">
        <v>308</v>
      </c>
      <c r="D105" s="15">
        <v>15508647</v>
      </c>
      <c r="E105" t="str">
        <f>IFERROR(VLOOKUP(C105,'LEAID Match'!$A$2:$B$214,2,FALSE),"")</f>
        <v/>
      </c>
    </row>
    <row r="106" spans="1:5">
      <c r="A106" t="s">
        <v>379</v>
      </c>
      <c r="B106">
        <v>2015</v>
      </c>
      <c r="C106" s="10" t="s">
        <v>229</v>
      </c>
      <c r="D106" s="15">
        <v>886104.62</v>
      </c>
      <c r="E106" t="str">
        <f>IFERROR(VLOOKUP(C106,'LEAID Match'!$A$2:$B$214,2,FALSE),"")</f>
        <v/>
      </c>
    </row>
    <row r="107" spans="1:5">
      <c r="A107" t="s">
        <v>379</v>
      </c>
      <c r="B107">
        <v>2016</v>
      </c>
      <c r="C107" s="10" t="s">
        <v>229</v>
      </c>
      <c r="D107" s="15">
        <v>858705.1</v>
      </c>
      <c r="E107" t="str">
        <f>IFERROR(VLOOKUP(C107,'LEAID Match'!$A$2:$B$214,2,FALSE),"")</f>
        <v/>
      </c>
    </row>
    <row r="108" spans="1:5">
      <c r="A108" t="s">
        <v>379</v>
      </c>
      <c r="B108">
        <v>2017</v>
      </c>
      <c r="C108" s="10" t="s">
        <v>229</v>
      </c>
      <c r="D108" s="15">
        <v>928793</v>
      </c>
      <c r="E108" t="str">
        <f>IFERROR(VLOOKUP(C108,'LEAID Match'!$A$2:$B$214,2,FALSE),"")</f>
        <v/>
      </c>
    </row>
    <row r="109" spans="1:5">
      <c r="A109" t="s">
        <v>379</v>
      </c>
      <c r="B109">
        <v>2018</v>
      </c>
      <c r="C109" s="10" t="s">
        <v>229</v>
      </c>
      <c r="E109" t="str">
        <f>IFERROR(VLOOKUP(C109,'LEAID Match'!$A$2:$B$214,2,FALSE),"")</f>
        <v/>
      </c>
    </row>
    <row r="110" spans="1:5">
      <c r="A110" t="s">
        <v>379</v>
      </c>
      <c r="B110">
        <v>2019</v>
      </c>
      <c r="C110" s="10" t="s">
        <v>229</v>
      </c>
      <c r="D110" s="15">
        <v>0</v>
      </c>
      <c r="E110" t="str">
        <f>IFERROR(VLOOKUP(C110,'LEAID Match'!$A$2:$B$214,2,FALSE),"")</f>
        <v/>
      </c>
    </row>
    <row r="111" spans="1:5">
      <c r="A111" t="s">
        <v>379</v>
      </c>
      <c r="B111">
        <v>2020</v>
      </c>
      <c r="C111" s="10" t="s">
        <v>229</v>
      </c>
      <c r="D111" s="15">
        <v>0</v>
      </c>
      <c r="E111" t="str">
        <f>IFERROR(VLOOKUP(C111,'LEAID Match'!$A$2:$B$214,2,FALSE),"")</f>
        <v/>
      </c>
    </row>
    <row r="112" spans="1:5">
      <c r="A112" t="s">
        <v>379</v>
      </c>
      <c r="B112">
        <v>2021</v>
      </c>
      <c r="C112" s="10" t="s">
        <v>229</v>
      </c>
      <c r="D112" s="15">
        <v>0</v>
      </c>
      <c r="E112" t="str">
        <f>IFERROR(VLOOKUP(C112,'LEAID Match'!$A$2:$B$214,2,FALSE),"")</f>
        <v/>
      </c>
    </row>
    <row r="113" spans="1:5">
      <c r="A113" t="s">
        <v>379</v>
      </c>
      <c r="B113">
        <v>2015</v>
      </c>
      <c r="C113" s="10" t="s">
        <v>35</v>
      </c>
      <c r="D113" s="15">
        <v>304604.71000000002</v>
      </c>
      <c r="E113" t="str">
        <f>IFERROR(VLOOKUP(C113,'LEAID Match'!$A$2:$B$214,2,FALSE),"")</f>
        <v/>
      </c>
    </row>
    <row r="114" spans="1:5">
      <c r="A114" t="s">
        <v>379</v>
      </c>
      <c r="B114">
        <v>2016</v>
      </c>
      <c r="C114" s="10" t="s">
        <v>35</v>
      </c>
      <c r="D114" s="15">
        <v>289975</v>
      </c>
      <c r="E114" t="str">
        <f>IFERROR(VLOOKUP(C114,'LEAID Match'!$A$2:$B$214,2,FALSE),"")</f>
        <v/>
      </c>
    </row>
    <row r="115" spans="1:5">
      <c r="A115" t="s">
        <v>379</v>
      </c>
      <c r="B115">
        <v>2017</v>
      </c>
      <c r="C115" s="10" t="s">
        <v>35</v>
      </c>
      <c r="D115" s="15">
        <v>314245</v>
      </c>
      <c r="E115" t="str">
        <f>IFERROR(VLOOKUP(C115,'LEAID Match'!$A$2:$B$214,2,FALSE),"")</f>
        <v/>
      </c>
    </row>
    <row r="116" spans="1:5">
      <c r="A116" t="s">
        <v>379</v>
      </c>
      <c r="B116">
        <v>2018</v>
      </c>
      <c r="C116" s="10" t="s">
        <v>35</v>
      </c>
      <c r="E116" t="str">
        <f>IFERROR(VLOOKUP(C116,'LEAID Match'!$A$2:$B$214,2,FALSE),"")</f>
        <v/>
      </c>
    </row>
    <row r="117" spans="1:5">
      <c r="A117" t="s">
        <v>379</v>
      </c>
      <c r="B117">
        <v>2019</v>
      </c>
      <c r="C117" s="10" t="s">
        <v>35</v>
      </c>
      <c r="D117" s="15">
        <v>0</v>
      </c>
      <c r="E117" t="str">
        <f>IFERROR(VLOOKUP(C117,'LEAID Match'!$A$2:$B$214,2,FALSE),"")</f>
        <v/>
      </c>
    </row>
    <row r="118" spans="1:5">
      <c r="A118" t="s">
        <v>379</v>
      </c>
      <c r="B118">
        <v>2020</v>
      </c>
      <c r="C118" s="10" t="s">
        <v>35</v>
      </c>
      <c r="D118" s="15">
        <v>0</v>
      </c>
      <c r="E118" t="str">
        <f>IFERROR(VLOOKUP(C118,'LEAID Match'!$A$2:$B$214,2,FALSE),"")</f>
        <v/>
      </c>
    </row>
    <row r="119" spans="1:5">
      <c r="A119" t="s">
        <v>379</v>
      </c>
      <c r="B119">
        <v>2021</v>
      </c>
      <c r="C119" s="10" t="s">
        <v>35</v>
      </c>
      <c r="D119" s="15">
        <v>0</v>
      </c>
      <c r="E119" t="str">
        <f>IFERROR(VLOOKUP(C119,'LEAID Match'!$A$2:$B$214,2,FALSE),"")</f>
        <v/>
      </c>
    </row>
    <row r="120" spans="1:5">
      <c r="A120" t="s">
        <v>379</v>
      </c>
      <c r="B120">
        <v>2015</v>
      </c>
      <c r="C120" s="10" t="s">
        <v>222</v>
      </c>
      <c r="D120" s="15">
        <v>51181.43</v>
      </c>
      <c r="E120" t="str">
        <f>IFERROR(VLOOKUP(C120,'LEAID Match'!$A$2:$B$214,2,FALSE),"")</f>
        <v/>
      </c>
    </row>
    <row r="121" spans="1:5">
      <c r="A121" t="s">
        <v>379</v>
      </c>
      <c r="B121">
        <v>2016</v>
      </c>
      <c r="C121" s="10" t="s">
        <v>222</v>
      </c>
      <c r="D121" s="15">
        <v>45946.32</v>
      </c>
      <c r="E121" t="str">
        <f>IFERROR(VLOOKUP(C121,'LEAID Match'!$A$2:$B$214,2,FALSE),"")</f>
        <v/>
      </c>
    </row>
    <row r="122" spans="1:5">
      <c r="A122" t="s">
        <v>379</v>
      </c>
      <c r="B122">
        <v>2017</v>
      </c>
      <c r="C122" s="10" t="s">
        <v>222</v>
      </c>
      <c r="D122" s="15">
        <v>49914</v>
      </c>
      <c r="E122" t="str">
        <f>IFERROR(VLOOKUP(C122,'LEAID Match'!$A$2:$B$214,2,FALSE),"")</f>
        <v/>
      </c>
    </row>
    <row r="123" spans="1:5">
      <c r="A123" t="s">
        <v>379</v>
      </c>
      <c r="B123">
        <v>2018</v>
      </c>
      <c r="C123" s="10" t="s">
        <v>222</v>
      </c>
      <c r="E123" t="str">
        <f>IFERROR(VLOOKUP(C123,'LEAID Match'!$A$2:$B$214,2,FALSE),"")</f>
        <v/>
      </c>
    </row>
    <row r="124" spans="1:5">
      <c r="A124" t="s">
        <v>379</v>
      </c>
      <c r="B124">
        <v>2019</v>
      </c>
      <c r="C124" s="10" t="s">
        <v>222</v>
      </c>
      <c r="D124" s="15">
        <v>0</v>
      </c>
      <c r="E124" t="str">
        <f>IFERROR(VLOOKUP(C124,'LEAID Match'!$A$2:$B$214,2,FALSE),"")</f>
        <v/>
      </c>
    </row>
    <row r="125" spans="1:5">
      <c r="A125" t="s">
        <v>379</v>
      </c>
      <c r="B125">
        <v>2020</v>
      </c>
      <c r="C125" s="10" t="s">
        <v>222</v>
      </c>
      <c r="D125" s="15">
        <v>0</v>
      </c>
      <c r="E125" t="str">
        <f>IFERROR(VLOOKUP(C125,'LEAID Match'!$A$2:$B$214,2,FALSE),"")</f>
        <v/>
      </c>
    </row>
    <row r="126" spans="1:5">
      <c r="A126" t="s">
        <v>379</v>
      </c>
      <c r="B126">
        <v>2021</v>
      </c>
      <c r="C126" s="10" t="s">
        <v>222</v>
      </c>
      <c r="D126" s="15">
        <v>0</v>
      </c>
      <c r="E126" t="str">
        <f>IFERROR(VLOOKUP(C126,'LEAID Match'!$A$2:$B$214,2,FALSE),"")</f>
        <v/>
      </c>
    </row>
    <row r="127" spans="1:5">
      <c r="A127" t="s">
        <v>379</v>
      </c>
      <c r="B127">
        <v>2015</v>
      </c>
      <c r="C127" s="10" t="s">
        <v>231</v>
      </c>
      <c r="D127" s="15">
        <v>822859.76</v>
      </c>
      <c r="E127" t="str">
        <f>IFERROR(VLOOKUP(C127,'LEAID Match'!$A$2:$B$214,2,FALSE),"")</f>
        <v/>
      </c>
    </row>
    <row r="128" spans="1:5">
      <c r="A128" t="s">
        <v>379</v>
      </c>
      <c r="B128">
        <v>2016</v>
      </c>
      <c r="C128" s="10" t="s">
        <v>231</v>
      </c>
      <c r="D128" s="15">
        <v>782428.82</v>
      </c>
      <c r="E128" t="str">
        <f>IFERROR(VLOOKUP(C128,'LEAID Match'!$A$2:$B$214,2,FALSE),"")</f>
        <v/>
      </c>
    </row>
    <row r="129" spans="1:5">
      <c r="A129" t="s">
        <v>379</v>
      </c>
      <c r="B129">
        <v>2017</v>
      </c>
      <c r="C129" s="10" t="s">
        <v>231</v>
      </c>
      <c r="D129" s="15">
        <v>878073</v>
      </c>
      <c r="E129" t="str">
        <f>IFERROR(VLOOKUP(C129,'LEAID Match'!$A$2:$B$214,2,FALSE),"")</f>
        <v/>
      </c>
    </row>
    <row r="130" spans="1:5">
      <c r="A130" t="s">
        <v>379</v>
      </c>
      <c r="B130">
        <v>2018</v>
      </c>
      <c r="C130" s="10" t="s">
        <v>231</v>
      </c>
      <c r="E130" t="str">
        <f>IFERROR(VLOOKUP(C130,'LEAID Match'!$A$2:$B$214,2,FALSE),"")</f>
        <v/>
      </c>
    </row>
    <row r="131" spans="1:5">
      <c r="A131" t="s">
        <v>379</v>
      </c>
      <c r="B131">
        <v>2019</v>
      </c>
      <c r="C131" s="10" t="s">
        <v>231</v>
      </c>
      <c r="D131" s="15">
        <v>0</v>
      </c>
      <c r="E131" t="str">
        <f>IFERROR(VLOOKUP(C131,'LEAID Match'!$A$2:$B$214,2,FALSE),"")</f>
        <v/>
      </c>
    </row>
    <row r="132" spans="1:5">
      <c r="A132" t="s">
        <v>379</v>
      </c>
      <c r="B132">
        <v>2020</v>
      </c>
      <c r="C132" s="10" t="s">
        <v>231</v>
      </c>
      <c r="D132" s="15">
        <v>0</v>
      </c>
      <c r="E132" t="str">
        <f>IFERROR(VLOOKUP(C132,'LEAID Match'!$A$2:$B$214,2,FALSE),"")</f>
        <v/>
      </c>
    </row>
    <row r="133" spans="1:5">
      <c r="A133" t="s">
        <v>379</v>
      </c>
      <c r="B133">
        <v>2021</v>
      </c>
      <c r="C133" s="10" t="s">
        <v>231</v>
      </c>
      <c r="D133" s="15">
        <v>0</v>
      </c>
      <c r="E133" t="str">
        <f>IFERROR(VLOOKUP(C133,'LEAID Match'!$A$2:$B$214,2,FALSE),"")</f>
        <v/>
      </c>
    </row>
    <row r="134" spans="1:5">
      <c r="A134" t="s">
        <v>379</v>
      </c>
      <c r="B134">
        <v>2015</v>
      </c>
      <c r="C134" s="10" t="s">
        <v>37</v>
      </c>
      <c r="D134" s="15">
        <v>131468.81</v>
      </c>
      <c r="E134" t="str">
        <f>IFERROR(VLOOKUP(C134,'LEAID Match'!$A$2:$B$214,2,FALSE),"")</f>
        <v/>
      </c>
    </row>
    <row r="135" spans="1:5">
      <c r="A135" t="s">
        <v>379</v>
      </c>
      <c r="B135">
        <v>2016</v>
      </c>
      <c r="C135" s="10" t="s">
        <v>37</v>
      </c>
      <c r="D135" s="15">
        <v>139614.16</v>
      </c>
      <c r="E135" t="str">
        <f>IFERROR(VLOOKUP(C135,'LEAID Match'!$A$2:$B$214,2,FALSE),"")</f>
        <v/>
      </c>
    </row>
    <row r="136" spans="1:5">
      <c r="A136" t="s">
        <v>379</v>
      </c>
      <c r="B136">
        <v>2017</v>
      </c>
      <c r="C136" s="10" t="s">
        <v>37</v>
      </c>
      <c r="E136" t="str">
        <f>IFERROR(VLOOKUP(C136,'LEAID Match'!$A$2:$B$214,2,FALSE),"")</f>
        <v/>
      </c>
    </row>
    <row r="137" spans="1:5">
      <c r="A137" t="s">
        <v>379</v>
      </c>
      <c r="B137">
        <v>2018</v>
      </c>
      <c r="C137" s="10" t="s">
        <v>37</v>
      </c>
      <c r="E137" t="str">
        <f>IFERROR(VLOOKUP(C137,'LEAID Match'!$A$2:$B$214,2,FALSE),"")</f>
        <v/>
      </c>
    </row>
    <row r="138" spans="1:5">
      <c r="A138" t="s">
        <v>379</v>
      </c>
      <c r="B138">
        <v>2019</v>
      </c>
      <c r="C138" s="10" t="s">
        <v>37</v>
      </c>
      <c r="D138" s="15">
        <v>0</v>
      </c>
      <c r="E138" t="str">
        <f>IFERROR(VLOOKUP(C138,'LEAID Match'!$A$2:$B$214,2,FALSE),"")</f>
        <v/>
      </c>
    </row>
    <row r="139" spans="1:5">
      <c r="A139" t="s">
        <v>379</v>
      </c>
      <c r="B139">
        <v>2020</v>
      </c>
      <c r="C139" s="10" t="s">
        <v>37</v>
      </c>
      <c r="D139" s="15">
        <v>0</v>
      </c>
      <c r="E139" t="str">
        <f>IFERROR(VLOOKUP(C139,'LEAID Match'!$A$2:$B$214,2,FALSE),"")</f>
        <v/>
      </c>
    </row>
    <row r="140" spans="1:5">
      <c r="A140" t="s">
        <v>379</v>
      </c>
      <c r="B140">
        <v>2015</v>
      </c>
      <c r="C140" s="10" t="s">
        <v>40</v>
      </c>
      <c r="D140" s="15">
        <v>46456.87</v>
      </c>
      <c r="E140" t="str">
        <f>IFERROR(VLOOKUP(C140,'LEAID Match'!$A$2:$B$214,2,FALSE),"")</f>
        <v/>
      </c>
    </row>
    <row r="141" spans="1:5">
      <c r="A141" t="s">
        <v>379</v>
      </c>
      <c r="B141">
        <v>2016</v>
      </c>
      <c r="C141" s="10" t="s">
        <v>40</v>
      </c>
      <c r="D141" s="15">
        <v>65789.63</v>
      </c>
      <c r="E141" t="str">
        <f>IFERROR(VLOOKUP(C141,'LEAID Match'!$A$2:$B$214,2,FALSE),"")</f>
        <v/>
      </c>
    </row>
    <row r="142" spans="1:5">
      <c r="A142" t="s">
        <v>379</v>
      </c>
      <c r="B142">
        <v>2017</v>
      </c>
      <c r="C142" s="10" t="s">
        <v>40</v>
      </c>
      <c r="D142" s="15">
        <v>72805</v>
      </c>
      <c r="E142" t="str">
        <f>IFERROR(VLOOKUP(C142,'LEAID Match'!$A$2:$B$214,2,FALSE),"")</f>
        <v/>
      </c>
    </row>
    <row r="143" spans="1:5">
      <c r="A143" t="s">
        <v>379</v>
      </c>
      <c r="B143">
        <v>2018</v>
      </c>
      <c r="C143" s="10" t="s">
        <v>40</v>
      </c>
      <c r="E143" t="str">
        <f>IFERROR(VLOOKUP(C143,'LEAID Match'!$A$2:$B$214,2,FALSE),"")</f>
        <v/>
      </c>
    </row>
    <row r="144" spans="1:5">
      <c r="A144" t="s">
        <v>379</v>
      </c>
      <c r="B144">
        <v>2019</v>
      </c>
      <c r="C144" s="10" t="s">
        <v>40</v>
      </c>
      <c r="D144" s="15">
        <v>0</v>
      </c>
      <c r="E144" t="str">
        <f>IFERROR(VLOOKUP(C144,'LEAID Match'!$A$2:$B$214,2,FALSE),"")</f>
        <v/>
      </c>
    </row>
    <row r="145" spans="1:5">
      <c r="A145" t="s">
        <v>379</v>
      </c>
      <c r="B145">
        <v>2020</v>
      </c>
      <c r="C145" s="10" t="s">
        <v>40</v>
      </c>
      <c r="D145" s="15">
        <v>0</v>
      </c>
      <c r="E145" t="str">
        <f>IFERROR(VLOOKUP(C145,'LEAID Match'!$A$2:$B$214,2,FALSE),"")</f>
        <v/>
      </c>
    </row>
    <row r="146" spans="1:5">
      <c r="A146" t="s">
        <v>379</v>
      </c>
      <c r="B146">
        <v>2021</v>
      </c>
      <c r="C146" s="10" t="s">
        <v>40</v>
      </c>
      <c r="D146" s="15">
        <v>0</v>
      </c>
      <c r="E146" t="str">
        <f>IFERROR(VLOOKUP(C146,'LEAID Match'!$A$2:$B$214,2,FALSE),"")</f>
        <v/>
      </c>
    </row>
    <row r="147" spans="1:5">
      <c r="A147" t="s">
        <v>379</v>
      </c>
      <c r="B147">
        <v>2015</v>
      </c>
      <c r="C147" s="10" t="s">
        <v>203</v>
      </c>
      <c r="E147" t="str">
        <f>IFERROR(VLOOKUP(C147,'LEAID Match'!$A$2:$B$214,2,FALSE),"")</f>
        <v/>
      </c>
    </row>
    <row r="148" spans="1:5">
      <c r="A148" t="s">
        <v>379</v>
      </c>
      <c r="B148">
        <v>2016</v>
      </c>
      <c r="C148" s="10" t="s">
        <v>203</v>
      </c>
      <c r="E148" t="str">
        <f>IFERROR(VLOOKUP(C148,'LEAID Match'!$A$2:$B$214,2,FALSE),"")</f>
        <v/>
      </c>
    </row>
    <row r="149" spans="1:5">
      <c r="A149" t="s">
        <v>379</v>
      </c>
      <c r="B149">
        <v>2017</v>
      </c>
      <c r="C149" s="10" t="s">
        <v>203</v>
      </c>
      <c r="E149" t="str">
        <f>IFERROR(VLOOKUP(C149,'LEAID Match'!$A$2:$B$214,2,FALSE),"")</f>
        <v/>
      </c>
    </row>
    <row r="150" spans="1:5">
      <c r="A150" t="s">
        <v>379</v>
      </c>
      <c r="B150">
        <v>2018</v>
      </c>
      <c r="C150" s="10" t="s">
        <v>203</v>
      </c>
      <c r="E150" t="str">
        <f>IFERROR(VLOOKUP(C150,'LEAID Match'!$A$2:$B$214,2,FALSE),"")</f>
        <v/>
      </c>
    </row>
    <row r="151" spans="1:5">
      <c r="A151" t="s">
        <v>379</v>
      </c>
      <c r="B151">
        <v>2019</v>
      </c>
      <c r="C151" s="10" t="s">
        <v>316</v>
      </c>
      <c r="D151" s="15">
        <v>167812</v>
      </c>
      <c r="E151" t="str">
        <f>IFERROR(VLOOKUP(C151,'LEAID Match'!$A$2:$B$214,2,FALSE),"")</f>
        <v/>
      </c>
    </row>
    <row r="152" spans="1:5">
      <c r="A152" t="s">
        <v>379</v>
      </c>
      <c r="B152">
        <v>2020</v>
      </c>
      <c r="C152" s="10" t="s">
        <v>316</v>
      </c>
      <c r="D152" s="15">
        <v>165319</v>
      </c>
      <c r="E152" t="str">
        <f>IFERROR(VLOOKUP(C152,'LEAID Match'!$A$2:$B$214,2,FALSE),"")</f>
        <v/>
      </c>
    </row>
    <row r="153" spans="1:5">
      <c r="A153" t="s">
        <v>379</v>
      </c>
      <c r="B153">
        <v>2021</v>
      </c>
      <c r="C153" s="10" t="s">
        <v>316</v>
      </c>
      <c r="D153" s="15">
        <v>172841</v>
      </c>
      <c r="E153" t="str">
        <f>IFERROR(VLOOKUP(C153,'LEAID Match'!$A$2:$B$214,2,FALSE),"")</f>
        <v/>
      </c>
    </row>
    <row r="154" spans="1:5">
      <c r="A154" t="s">
        <v>379</v>
      </c>
      <c r="B154">
        <v>2022</v>
      </c>
      <c r="C154" s="10" t="s">
        <v>316</v>
      </c>
      <c r="D154" s="15">
        <v>451304</v>
      </c>
      <c r="E154" t="str">
        <f>IFERROR(VLOOKUP(C154,'LEAID Match'!$A$2:$B$214,2,FALSE),"")</f>
        <v/>
      </c>
    </row>
    <row r="155" spans="1:5">
      <c r="A155" t="s">
        <v>379</v>
      </c>
      <c r="B155">
        <v>2015</v>
      </c>
      <c r="C155" s="10" t="s">
        <v>49</v>
      </c>
      <c r="D155" s="15">
        <v>109432.83</v>
      </c>
      <c r="E155" t="str">
        <f>IFERROR(VLOOKUP(C155,'LEAID Match'!$A$2:$B$214,2,FALSE),"")</f>
        <v/>
      </c>
    </row>
    <row r="156" spans="1:5">
      <c r="A156" t="s">
        <v>379</v>
      </c>
      <c r="B156">
        <v>2016</v>
      </c>
      <c r="C156" s="10" t="s">
        <v>49</v>
      </c>
      <c r="D156" s="15">
        <v>112550.09</v>
      </c>
      <c r="E156" t="str">
        <f>IFERROR(VLOOKUP(C156,'LEAID Match'!$A$2:$B$214,2,FALSE),"")</f>
        <v/>
      </c>
    </row>
    <row r="157" spans="1:5">
      <c r="A157" t="s">
        <v>379</v>
      </c>
      <c r="B157">
        <v>2017</v>
      </c>
      <c r="C157" s="10" t="s">
        <v>49</v>
      </c>
      <c r="D157" s="15">
        <v>96518</v>
      </c>
      <c r="E157" t="str">
        <f>IFERROR(VLOOKUP(C157,'LEAID Match'!$A$2:$B$214,2,FALSE),"")</f>
        <v/>
      </c>
    </row>
    <row r="158" spans="1:5">
      <c r="A158" t="s">
        <v>379</v>
      </c>
      <c r="B158">
        <v>2018</v>
      </c>
      <c r="C158" s="10" t="s">
        <v>49</v>
      </c>
      <c r="E158" t="str">
        <f>IFERROR(VLOOKUP(C158,'LEAID Match'!$A$2:$B$214,2,FALSE),"")</f>
        <v/>
      </c>
    </row>
    <row r="159" spans="1:5">
      <c r="A159" t="s">
        <v>379</v>
      </c>
      <c r="B159">
        <v>2019</v>
      </c>
      <c r="C159" s="10" t="s">
        <v>49</v>
      </c>
      <c r="D159" s="15">
        <v>0</v>
      </c>
      <c r="E159" t="str">
        <f>IFERROR(VLOOKUP(C159,'LEAID Match'!$A$2:$B$214,2,FALSE),"")</f>
        <v/>
      </c>
    </row>
    <row r="160" spans="1:5">
      <c r="A160" t="s">
        <v>379</v>
      </c>
      <c r="B160">
        <v>2020</v>
      </c>
      <c r="C160" s="10" t="s">
        <v>49</v>
      </c>
      <c r="D160" s="15">
        <v>0</v>
      </c>
      <c r="E160" t="str">
        <f>IFERROR(VLOOKUP(C160,'LEAID Match'!$A$2:$B$214,2,FALSE),"")</f>
        <v/>
      </c>
    </row>
    <row r="161" spans="1:5">
      <c r="A161" t="s">
        <v>379</v>
      </c>
      <c r="B161">
        <v>2021</v>
      </c>
      <c r="C161" s="10" t="s">
        <v>49</v>
      </c>
      <c r="D161" s="15">
        <v>0</v>
      </c>
      <c r="E161" t="str">
        <f>IFERROR(VLOOKUP(C161,'LEAID Match'!$A$2:$B$214,2,FALSE),"")</f>
        <v/>
      </c>
    </row>
    <row r="162" spans="1:5">
      <c r="A162" t="s">
        <v>379</v>
      </c>
      <c r="B162">
        <v>2017</v>
      </c>
      <c r="C162" s="10" t="s">
        <v>302</v>
      </c>
      <c r="D162" s="15">
        <v>576710</v>
      </c>
      <c r="E162" t="str">
        <f>IFERROR(VLOOKUP(C162,'LEAID Match'!$A$2:$B$214,2,FALSE),"")</f>
        <v/>
      </c>
    </row>
    <row r="163" spans="1:5">
      <c r="A163" t="s">
        <v>379</v>
      </c>
      <c r="B163">
        <v>2018</v>
      </c>
      <c r="C163" s="10" t="s">
        <v>302</v>
      </c>
      <c r="D163" s="15">
        <v>835169</v>
      </c>
      <c r="E163" t="str">
        <f>IFERROR(VLOOKUP(C163,'LEAID Match'!$A$2:$B$214,2,FALSE),"")</f>
        <v/>
      </c>
    </row>
    <row r="164" spans="1:5">
      <c r="A164" t="s">
        <v>379</v>
      </c>
      <c r="B164">
        <v>2019</v>
      </c>
      <c r="C164" s="10" t="s">
        <v>302</v>
      </c>
      <c r="D164" s="15">
        <v>857898</v>
      </c>
      <c r="E164" t="str">
        <f>IFERROR(VLOOKUP(C164,'LEAID Match'!$A$2:$B$214,2,FALSE),"")</f>
        <v/>
      </c>
    </row>
    <row r="165" spans="1:5">
      <c r="A165" t="s">
        <v>379</v>
      </c>
      <c r="B165">
        <v>2020</v>
      </c>
      <c r="C165" s="10" t="s">
        <v>302</v>
      </c>
      <c r="D165" s="15">
        <v>0</v>
      </c>
      <c r="E165" t="str">
        <f>IFERROR(VLOOKUP(C165,'LEAID Match'!$A$2:$B$214,2,FALSE),"")</f>
        <v/>
      </c>
    </row>
    <row r="166" spans="1:5">
      <c r="A166" t="s">
        <v>379</v>
      </c>
      <c r="B166">
        <v>2021</v>
      </c>
      <c r="C166" s="10" t="s">
        <v>302</v>
      </c>
      <c r="D166" s="15">
        <v>0</v>
      </c>
      <c r="E166" t="str">
        <f>IFERROR(VLOOKUP(C166,'LEAID Match'!$A$2:$B$214,2,FALSE),"")</f>
        <v/>
      </c>
    </row>
    <row r="167" spans="1:5">
      <c r="A167" t="s">
        <v>379</v>
      </c>
      <c r="B167">
        <v>2022</v>
      </c>
      <c r="C167" s="10" t="s">
        <v>302</v>
      </c>
      <c r="D167" s="15">
        <v>0</v>
      </c>
      <c r="E167" t="str">
        <f>IFERROR(VLOOKUP(C167,'LEAID Match'!$A$2:$B$214,2,FALSE),"")</f>
        <v/>
      </c>
    </row>
    <row r="168" spans="1:5">
      <c r="A168" t="s">
        <v>379</v>
      </c>
      <c r="B168">
        <v>2015</v>
      </c>
      <c r="C168" s="10" t="s">
        <v>50</v>
      </c>
      <c r="D168" s="15">
        <v>8319.09</v>
      </c>
      <c r="E168" t="str">
        <f>IFERROR(VLOOKUP(C168,'LEAID Match'!$A$2:$B$214,2,FALSE),"")</f>
        <v/>
      </c>
    </row>
    <row r="169" spans="1:5">
      <c r="A169" t="s">
        <v>379</v>
      </c>
      <c r="B169">
        <v>2016</v>
      </c>
      <c r="C169" s="10" t="s">
        <v>50</v>
      </c>
      <c r="D169" s="15">
        <v>7409.04</v>
      </c>
      <c r="E169" t="str">
        <f>IFERROR(VLOOKUP(C169,'LEAID Match'!$A$2:$B$214,2,FALSE),"")</f>
        <v/>
      </c>
    </row>
    <row r="170" spans="1:5">
      <c r="A170" t="s">
        <v>379</v>
      </c>
      <c r="B170">
        <v>2017</v>
      </c>
      <c r="C170" s="10" t="s">
        <v>50</v>
      </c>
      <c r="E170" t="str">
        <f>IFERROR(VLOOKUP(C170,'LEAID Match'!$A$2:$B$214,2,FALSE),"")</f>
        <v/>
      </c>
    </row>
    <row r="171" spans="1:5">
      <c r="A171" t="s">
        <v>379</v>
      </c>
      <c r="B171">
        <v>2018</v>
      </c>
      <c r="C171" s="10" t="s">
        <v>50</v>
      </c>
      <c r="E171" t="str">
        <f>IFERROR(VLOOKUP(C171,'LEAID Match'!$A$2:$B$214,2,FALSE),"")</f>
        <v/>
      </c>
    </row>
    <row r="172" spans="1:5">
      <c r="A172" t="s">
        <v>379</v>
      </c>
      <c r="B172">
        <v>2019</v>
      </c>
      <c r="C172" s="10" t="s">
        <v>50</v>
      </c>
      <c r="D172" s="15">
        <v>0</v>
      </c>
      <c r="E172" t="str">
        <f>IFERROR(VLOOKUP(C172,'LEAID Match'!$A$2:$B$214,2,FALSE),"")</f>
        <v/>
      </c>
    </row>
    <row r="173" spans="1:5">
      <c r="A173" t="s">
        <v>379</v>
      </c>
      <c r="B173">
        <v>2020</v>
      </c>
      <c r="C173" s="10" t="s">
        <v>50</v>
      </c>
      <c r="D173" s="15">
        <v>0</v>
      </c>
      <c r="E173" t="str">
        <f>IFERROR(VLOOKUP(C173,'LEAID Match'!$A$2:$B$214,2,FALSE),"")</f>
        <v/>
      </c>
    </row>
    <row r="174" spans="1:5">
      <c r="A174" t="s">
        <v>379</v>
      </c>
      <c r="B174">
        <v>2020</v>
      </c>
      <c r="C174" s="10" t="s">
        <v>338</v>
      </c>
      <c r="D174" s="15">
        <v>1100358</v>
      </c>
      <c r="E174" t="str">
        <f>IFERROR(VLOOKUP(C174,'LEAID Match'!$A$2:$B$214,2,FALSE),"")</f>
        <v/>
      </c>
    </row>
    <row r="175" spans="1:5">
      <c r="A175" t="s">
        <v>379</v>
      </c>
      <c r="B175">
        <v>2021</v>
      </c>
      <c r="C175" s="10" t="s">
        <v>338</v>
      </c>
      <c r="D175" s="15">
        <v>1168199</v>
      </c>
      <c r="E175" t="str">
        <f>IFERROR(VLOOKUP(C175,'LEAID Match'!$A$2:$B$214,2,FALSE),"")</f>
        <v/>
      </c>
    </row>
    <row r="176" spans="1:5">
      <c r="A176" t="s">
        <v>379</v>
      </c>
      <c r="B176">
        <v>2022</v>
      </c>
      <c r="C176" s="10" t="s">
        <v>338</v>
      </c>
      <c r="D176" s="15">
        <v>2867894</v>
      </c>
      <c r="E176" t="str">
        <f>IFERROR(VLOOKUP(C176,'LEAID Match'!$A$2:$B$214,2,FALSE),"")</f>
        <v/>
      </c>
    </row>
    <row r="177" spans="1:5">
      <c r="A177" t="s">
        <v>379</v>
      </c>
      <c r="B177">
        <v>2015</v>
      </c>
      <c r="C177" s="10" t="s">
        <v>52</v>
      </c>
      <c r="D177" s="15">
        <v>1528343.71</v>
      </c>
      <c r="E177" t="str">
        <f>IFERROR(VLOOKUP(C177,'LEAID Match'!$A$2:$B$214,2,FALSE),"")</f>
        <v/>
      </c>
    </row>
    <row r="178" spans="1:5">
      <c r="A178" t="s">
        <v>379</v>
      </c>
      <c r="B178">
        <v>2016</v>
      </c>
      <c r="C178" s="10" t="s">
        <v>52</v>
      </c>
      <c r="D178" s="15">
        <v>1498233.76</v>
      </c>
      <c r="E178" t="str">
        <f>IFERROR(VLOOKUP(C178,'LEAID Match'!$A$2:$B$214,2,FALSE),"")</f>
        <v/>
      </c>
    </row>
    <row r="179" spans="1:5">
      <c r="A179" t="s">
        <v>379</v>
      </c>
      <c r="B179">
        <v>2017</v>
      </c>
      <c r="C179" s="10" t="s">
        <v>52</v>
      </c>
      <c r="D179" s="15">
        <v>1601454</v>
      </c>
      <c r="E179" t="str">
        <f>IFERROR(VLOOKUP(C179,'LEAID Match'!$A$2:$B$214,2,FALSE),"")</f>
        <v/>
      </c>
    </row>
    <row r="180" spans="1:5">
      <c r="A180" t="s">
        <v>379</v>
      </c>
      <c r="B180">
        <v>2018</v>
      </c>
      <c r="C180" s="10" t="s">
        <v>52</v>
      </c>
      <c r="E180" t="str">
        <f>IFERROR(VLOOKUP(C180,'LEAID Match'!$A$2:$B$214,2,FALSE),"")</f>
        <v/>
      </c>
    </row>
    <row r="181" spans="1:5">
      <c r="A181" t="s">
        <v>379</v>
      </c>
      <c r="B181">
        <v>2019</v>
      </c>
      <c r="C181" s="10" t="s">
        <v>52</v>
      </c>
      <c r="D181" s="15">
        <v>0</v>
      </c>
      <c r="E181" t="str">
        <f>IFERROR(VLOOKUP(C181,'LEAID Match'!$A$2:$B$214,2,FALSE),"")</f>
        <v/>
      </c>
    </row>
    <row r="182" spans="1:5">
      <c r="A182" t="s">
        <v>379</v>
      </c>
      <c r="B182">
        <v>2020</v>
      </c>
      <c r="C182" s="10" t="s">
        <v>52</v>
      </c>
      <c r="D182" s="15">
        <v>0</v>
      </c>
      <c r="E182" t="str">
        <f>IFERROR(VLOOKUP(C182,'LEAID Match'!$A$2:$B$214,2,FALSE),"")</f>
        <v/>
      </c>
    </row>
    <row r="183" spans="1:5">
      <c r="A183" t="s">
        <v>379</v>
      </c>
      <c r="B183">
        <v>2021</v>
      </c>
      <c r="C183" s="10" t="s">
        <v>52</v>
      </c>
      <c r="D183" s="15">
        <v>0</v>
      </c>
      <c r="E183" t="str">
        <f>IFERROR(VLOOKUP(C183,'LEAID Match'!$A$2:$B$214,2,FALSE),"")</f>
        <v/>
      </c>
    </row>
    <row r="184" spans="1:5">
      <c r="A184" t="s">
        <v>379</v>
      </c>
      <c r="B184">
        <v>2015</v>
      </c>
      <c r="C184" s="10" t="s">
        <v>53</v>
      </c>
      <c r="D184" s="15">
        <v>988690.76</v>
      </c>
      <c r="E184" t="str">
        <f>IFERROR(VLOOKUP(C184,'LEAID Match'!$A$2:$B$214,2,FALSE),"")</f>
        <v/>
      </c>
    </row>
    <row r="185" spans="1:5">
      <c r="A185" t="s">
        <v>379</v>
      </c>
      <c r="B185">
        <v>2016</v>
      </c>
      <c r="C185" s="10" t="s">
        <v>53</v>
      </c>
      <c r="D185" s="15">
        <v>923550.52</v>
      </c>
      <c r="E185" t="str">
        <f>IFERROR(VLOOKUP(C185,'LEAID Match'!$A$2:$B$214,2,FALSE),"")</f>
        <v/>
      </c>
    </row>
    <row r="186" spans="1:5">
      <c r="A186" t="s">
        <v>379</v>
      </c>
      <c r="B186">
        <v>2017</v>
      </c>
      <c r="C186" s="10" t="s">
        <v>53</v>
      </c>
      <c r="D186" s="15">
        <v>995648</v>
      </c>
      <c r="E186" t="str">
        <f>IFERROR(VLOOKUP(C186,'LEAID Match'!$A$2:$B$214,2,FALSE),"")</f>
        <v/>
      </c>
    </row>
    <row r="187" spans="1:5">
      <c r="A187" t="s">
        <v>379</v>
      </c>
      <c r="B187">
        <v>2018</v>
      </c>
      <c r="C187" s="10" t="s">
        <v>53</v>
      </c>
      <c r="E187" t="str">
        <f>IFERROR(VLOOKUP(C187,'LEAID Match'!$A$2:$B$214,2,FALSE),"")</f>
        <v/>
      </c>
    </row>
    <row r="188" spans="1:5">
      <c r="A188" t="s">
        <v>379</v>
      </c>
      <c r="B188">
        <v>2019</v>
      </c>
      <c r="C188" s="10" t="s">
        <v>53</v>
      </c>
      <c r="D188" s="15">
        <v>0</v>
      </c>
      <c r="E188" t="str">
        <f>IFERROR(VLOOKUP(C188,'LEAID Match'!$A$2:$B$214,2,FALSE),"")</f>
        <v/>
      </c>
    </row>
    <row r="189" spans="1:5">
      <c r="A189" t="s">
        <v>379</v>
      </c>
      <c r="B189">
        <v>2020</v>
      </c>
      <c r="C189" s="10" t="s">
        <v>53</v>
      </c>
      <c r="D189" s="15">
        <v>0</v>
      </c>
      <c r="E189" t="str">
        <f>IFERROR(VLOOKUP(C189,'LEAID Match'!$A$2:$B$214,2,FALSE),"")</f>
        <v/>
      </c>
    </row>
    <row r="190" spans="1:5">
      <c r="A190" t="s">
        <v>379</v>
      </c>
      <c r="B190">
        <v>2021</v>
      </c>
      <c r="C190" s="10" t="s">
        <v>53</v>
      </c>
      <c r="D190" s="15">
        <v>0</v>
      </c>
      <c r="E190" t="str">
        <f>IFERROR(VLOOKUP(C190,'LEAID Match'!$A$2:$B$214,2,FALSE),"")</f>
        <v/>
      </c>
    </row>
    <row r="191" spans="1:5">
      <c r="A191" t="s">
        <v>379</v>
      </c>
      <c r="B191">
        <v>2018</v>
      </c>
      <c r="C191" s="10" t="s">
        <v>309</v>
      </c>
      <c r="D191" s="15">
        <v>5675355</v>
      </c>
      <c r="E191" t="str">
        <f>IFERROR(VLOOKUP(C191,'LEAID Match'!$A$2:$B$214,2,FALSE),"")</f>
        <v/>
      </c>
    </row>
    <row r="192" spans="1:5">
      <c r="A192" t="s">
        <v>379</v>
      </c>
      <c r="B192">
        <v>2019</v>
      </c>
      <c r="C192" s="10" t="s">
        <v>309</v>
      </c>
      <c r="D192" s="15">
        <v>5885566</v>
      </c>
      <c r="E192" t="str">
        <f>IFERROR(VLOOKUP(C192,'LEAID Match'!$A$2:$B$214,2,FALSE),"")</f>
        <v/>
      </c>
    </row>
    <row r="193" spans="1:5">
      <c r="A193" t="s">
        <v>379</v>
      </c>
      <c r="B193">
        <v>2020</v>
      </c>
      <c r="C193" s="10" t="s">
        <v>309</v>
      </c>
      <c r="D193" s="15">
        <v>6096580</v>
      </c>
      <c r="E193" t="str">
        <f>IFERROR(VLOOKUP(C193,'LEAID Match'!$A$2:$B$214,2,FALSE),"")</f>
        <v/>
      </c>
    </row>
    <row r="194" spans="1:5">
      <c r="A194" t="s">
        <v>379</v>
      </c>
      <c r="B194">
        <v>2021</v>
      </c>
      <c r="C194" s="10" t="s">
        <v>309</v>
      </c>
      <c r="D194" s="15">
        <v>6496152</v>
      </c>
      <c r="E194" t="str">
        <f>IFERROR(VLOOKUP(C194,'LEAID Match'!$A$2:$B$214,2,FALSE),"")</f>
        <v/>
      </c>
    </row>
    <row r="195" spans="1:5">
      <c r="A195" t="s">
        <v>379</v>
      </c>
      <c r="B195">
        <v>2022</v>
      </c>
      <c r="C195" s="10" t="s">
        <v>309</v>
      </c>
      <c r="D195" s="15">
        <v>16651443</v>
      </c>
      <c r="E195" t="str">
        <f>IFERROR(VLOOKUP(C195,'LEAID Match'!$A$2:$B$214,2,FALSE),"")</f>
        <v/>
      </c>
    </row>
    <row r="196" spans="1:5">
      <c r="A196" t="s">
        <v>379</v>
      </c>
      <c r="B196">
        <v>2015</v>
      </c>
      <c r="C196" s="10" t="s">
        <v>57</v>
      </c>
      <c r="D196" s="15">
        <v>161291.69</v>
      </c>
      <c r="E196" t="str">
        <f>IFERROR(VLOOKUP(C196,'LEAID Match'!$A$2:$B$214,2,FALSE),"")</f>
        <v/>
      </c>
    </row>
    <row r="197" spans="1:5">
      <c r="A197" t="s">
        <v>379</v>
      </c>
      <c r="B197">
        <v>2016</v>
      </c>
      <c r="C197" s="10" t="s">
        <v>57</v>
      </c>
      <c r="D197" s="15">
        <v>138766.29999999999</v>
      </c>
      <c r="E197" t="str">
        <f>IFERROR(VLOOKUP(C197,'LEAID Match'!$A$2:$B$214,2,FALSE),"")</f>
        <v/>
      </c>
    </row>
    <row r="198" spans="1:5">
      <c r="A198" t="s">
        <v>379</v>
      </c>
      <c r="B198">
        <v>2017</v>
      </c>
      <c r="C198" s="10" t="s">
        <v>57</v>
      </c>
      <c r="D198" s="15">
        <v>147238</v>
      </c>
      <c r="E198" t="str">
        <f>IFERROR(VLOOKUP(C198,'LEAID Match'!$A$2:$B$214,2,FALSE),"")</f>
        <v/>
      </c>
    </row>
    <row r="199" spans="1:5">
      <c r="A199" t="s">
        <v>379</v>
      </c>
      <c r="B199">
        <v>2018</v>
      </c>
      <c r="C199" s="10" t="s">
        <v>57</v>
      </c>
      <c r="E199" t="str">
        <f>IFERROR(VLOOKUP(C199,'LEAID Match'!$A$2:$B$214,2,FALSE),"")</f>
        <v/>
      </c>
    </row>
    <row r="200" spans="1:5">
      <c r="A200" t="s">
        <v>379</v>
      </c>
      <c r="B200">
        <v>2019</v>
      </c>
      <c r="C200" s="10" t="s">
        <v>57</v>
      </c>
      <c r="D200" s="15">
        <v>0</v>
      </c>
      <c r="E200" t="str">
        <f>IFERROR(VLOOKUP(C200,'LEAID Match'!$A$2:$B$214,2,FALSE),"")</f>
        <v/>
      </c>
    </row>
    <row r="201" spans="1:5">
      <c r="A201" t="s">
        <v>379</v>
      </c>
      <c r="B201">
        <v>2020</v>
      </c>
      <c r="C201" s="10" t="s">
        <v>57</v>
      </c>
      <c r="D201" s="15">
        <v>0</v>
      </c>
      <c r="E201" t="str">
        <f>IFERROR(VLOOKUP(C201,'LEAID Match'!$A$2:$B$214,2,FALSE),"")</f>
        <v/>
      </c>
    </row>
    <row r="202" spans="1:5">
      <c r="A202" t="s">
        <v>379</v>
      </c>
      <c r="B202">
        <v>2021</v>
      </c>
      <c r="C202" s="10" t="s">
        <v>57</v>
      </c>
      <c r="D202" s="15">
        <v>0</v>
      </c>
      <c r="E202" t="str">
        <f>IFERROR(VLOOKUP(C202,'LEAID Match'!$A$2:$B$214,2,FALSE),"")</f>
        <v/>
      </c>
    </row>
    <row r="203" spans="1:5">
      <c r="A203" t="s">
        <v>379</v>
      </c>
      <c r="B203">
        <v>2015</v>
      </c>
      <c r="C203" s="10" t="s">
        <v>58</v>
      </c>
      <c r="D203" s="15">
        <v>104868.15</v>
      </c>
      <c r="E203" t="str">
        <f>IFERROR(VLOOKUP(C203,'LEAID Match'!$A$2:$B$214,2,FALSE),"")</f>
        <v/>
      </c>
    </row>
    <row r="204" spans="1:5">
      <c r="A204" t="s">
        <v>379</v>
      </c>
      <c r="B204">
        <v>2016</v>
      </c>
      <c r="C204" s="10" t="s">
        <v>58</v>
      </c>
      <c r="D204" s="15">
        <v>96068.56</v>
      </c>
      <c r="E204" t="str">
        <f>IFERROR(VLOOKUP(C204,'LEAID Match'!$A$2:$B$214,2,FALSE),"")</f>
        <v/>
      </c>
    </row>
    <row r="205" spans="1:5">
      <c r="A205" t="s">
        <v>379</v>
      </c>
      <c r="B205">
        <v>2017</v>
      </c>
      <c r="C205" s="10" t="s">
        <v>58</v>
      </c>
      <c r="D205" s="15">
        <v>89421</v>
      </c>
      <c r="E205" t="str">
        <f>IFERROR(VLOOKUP(C205,'LEAID Match'!$A$2:$B$214,2,FALSE),"")</f>
        <v/>
      </c>
    </row>
    <row r="206" spans="1:5">
      <c r="A206" t="s">
        <v>379</v>
      </c>
      <c r="B206">
        <v>2018</v>
      </c>
      <c r="C206" s="10" t="s">
        <v>58</v>
      </c>
      <c r="E206" t="str">
        <f>IFERROR(VLOOKUP(C206,'LEAID Match'!$A$2:$B$214,2,FALSE),"")</f>
        <v/>
      </c>
    </row>
    <row r="207" spans="1:5">
      <c r="A207" t="s">
        <v>379</v>
      </c>
      <c r="B207">
        <v>2019</v>
      </c>
      <c r="C207" s="10" t="s">
        <v>58</v>
      </c>
      <c r="D207" s="15">
        <v>0</v>
      </c>
      <c r="E207" t="str">
        <f>IFERROR(VLOOKUP(C207,'LEAID Match'!$A$2:$B$214,2,FALSE),"")</f>
        <v/>
      </c>
    </row>
    <row r="208" spans="1:5">
      <c r="A208" t="s">
        <v>379</v>
      </c>
      <c r="B208">
        <v>2020</v>
      </c>
      <c r="C208" s="10" t="s">
        <v>58</v>
      </c>
      <c r="D208" s="15">
        <v>0</v>
      </c>
      <c r="E208" t="str">
        <f>IFERROR(VLOOKUP(C208,'LEAID Match'!$A$2:$B$214,2,FALSE),"")</f>
        <v/>
      </c>
    </row>
    <row r="209" spans="1:5">
      <c r="A209" t="s">
        <v>379</v>
      </c>
      <c r="B209">
        <v>2021</v>
      </c>
      <c r="C209" s="10" t="s">
        <v>58</v>
      </c>
      <c r="D209" s="15">
        <v>0</v>
      </c>
      <c r="E209" t="str">
        <f>IFERROR(VLOOKUP(C209,'LEAID Match'!$A$2:$B$214,2,FALSE),"")</f>
        <v/>
      </c>
    </row>
    <row r="210" spans="1:5">
      <c r="A210" t="s">
        <v>379</v>
      </c>
      <c r="B210">
        <v>2015</v>
      </c>
      <c r="C210" s="10" t="s">
        <v>59</v>
      </c>
      <c r="D210" s="15">
        <v>113193.78</v>
      </c>
      <c r="E210" t="str">
        <f>IFERROR(VLOOKUP(C210,'LEAID Match'!$A$2:$B$214,2,FALSE),"")</f>
        <v/>
      </c>
    </row>
    <row r="211" spans="1:5">
      <c r="A211" t="s">
        <v>379</v>
      </c>
      <c r="B211">
        <v>2016</v>
      </c>
      <c r="C211" s="10" t="s">
        <v>59</v>
      </c>
      <c r="D211" s="15">
        <v>112492.14</v>
      </c>
      <c r="E211" t="str">
        <f>IFERROR(VLOOKUP(C211,'LEAID Match'!$A$2:$B$214,2,FALSE),"")</f>
        <v/>
      </c>
    </row>
    <row r="212" spans="1:5">
      <c r="A212" t="s">
        <v>379</v>
      </c>
      <c r="B212">
        <v>2017</v>
      </c>
      <c r="C212" s="10" t="s">
        <v>59</v>
      </c>
      <c r="D212" s="15">
        <v>123213</v>
      </c>
      <c r="E212" t="str">
        <f>IFERROR(VLOOKUP(C212,'LEAID Match'!$A$2:$B$214,2,FALSE),"")</f>
        <v/>
      </c>
    </row>
    <row r="213" spans="1:5">
      <c r="A213" t="s">
        <v>379</v>
      </c>
      <c r="B213">
        <v>2018</v>
      </c>
      <c r="C213" s="10" t="s">
        <v>59</v>
      </c>
      <c r="E213" t="str">
        <f>IFERROR(VLOOKUP(C213,'LEAID Match'!$A$2:$B$214,2,FALSE),"")</f>
        <v/>
      </c>
    </row>
    <row r="214" spans="1:5">
      <c r="A214" t="s">
        <v>379</v>
      </c>
      <c r="B214">
        <v>2019</v>
      </c>
      <c r="C214" s="10" t="s">
        <v>59</v>
      </c>
      <c r="D214" s="15">
        <v>0</v>
      </c>
      <c r="E214" t="str">
        <f>IFERROR(VLOOKUP(C214,'LEAID Match'!$A$2:$B$214,2,FALSE),"")</f>
        <v/>
      </c>
    </row>
    <row r="215" spans="1:5">
      <c r="A215" t="s">
        <v>379</v>
      </c>
      <c r="B215">
        <v>2020</v>
      </c>
      <c r="C215" s="10" t="s">
        <v>59</v>
      </c>
      <c r="D215" s="15">
        <v>0</v>
      </c>
      <c r="E215" t="str">
        <f>IFERROR(VLOOKUP(C215,'LEAID Match'!$A$2:$B$214,2,FALSE),"")</f>
        <v/>
      </c>
    </row>
    <row r="216" spans="1:5">
      <c r="A216" t="s">
        <v>379</v>
      </c>
      <c r="B216">
        <v>2021</v>
      </c>
      <c r="C216" s="10" t="s">
        <v>59</v>
      </c>
      <c r="D216" s="15">
        <v>0</v>
      </c>
      <c r="E216" t="str">
        <f>IFERROR(VLOOKUP(C216,'LEAID Match'!$A$2:$B$214,2,FALSE),"")</f>
        <v/>
      </c>
    </row>
    <row r="217" spans="1:5">
      <c r="A217" t="s">
        <v>379</v>
      </c>
      <c r="B217">
        <v>2019</v>
      </c>
      <c r="C217" s="10" t="s">
        <v>317</v>
      </c>
      <c r="D217" s="15">
        <v>304719</v>
      </c>
      <c r="E217" t="str">
        <f>IFERROR(VLOOKUP(C217,'LEAID Match'!$A$2:$B$214,2,FALSE),"")</f>
        <v/>
      </c>
    </row>
    <row r="218" spans="1:5">
      <c r="A218" t="s">
        <v>379</v>
      </c>
      <c r="B218">
        <v>2020</v>
      </c>
      <c r="C218" s="10" t="s">
        <v>317</v>
      </c>
      <c r="D218" s="15">
        <v>325940</v>
      </c>
      <c r="E218" t="str">
        <f>IFERROR(VLOOKUP(C218,'LEAID Match'!$A$2:$B$214,2,FALSE),"")</f>
        <v/>
      </c>
    </row>
    <row r="219" spans="1:5">
      <c r="A219" t="s">
        <v>379</v>
      </c>
      <c r="B219">
        <v>2021</v>
      </c>
      <c r="C219" s="10" t="s">
        <v>317</v>
      </c>
      <c r="D219" s="15">
        <v>327341</v>
      </c>
      <c r="E219" t="str">
        <f>IFERROR(VLOOKUP(C219,'LEAID Match'!$A$2:$B$214,2,FALSE),"")</f>
        <v/>
      </c>
    </row>
    <row r="220" spans="1:5">
      <c r="A220" t="s">
        <v>379</v>
      </c>
      <c r="B220">
        <v>2022</v>
      </c>
      <c r="C220" s="10" t="s">
        <v>317</v>
      </c>
      <c r="D220" s="15">
        <v>685677</v>
      </c>
      <c r="E220" t="str">
        <f>IFERROR(VLOOKUP(C220,'LEAID Match'!$A$2:$B$214,2,FALSE),"")</f>
        <v/>
      </c>
    </row>
    <row r="221" spans="1:5">
      <c r="A221" t="s">
        <v>379</v>
      </c>
      <c r="B221">
        <v>2015</v>
      </c>
      <c r="C221" s="10" t="s">
        <v>282</v>
      </c>
      <c r="D221" s="15">
        <v>122412.94</v>
      </c>
      <c r="E221" t="str">
        <f>IFERROR(VLOOKUP(C221,'LEAID Match'!$A$2:$B$214,2,FALSE),"")</f>
        <v/>
      </c>
    </row>
    <row r="222" spans="1:5">
      <c r="A222" t="s">
        <v>379</v>
      </c>
      <c r="B222">
        <v>2016</v>
      </c>
      <c r="C222" s="10" t="s">
        <v>282</v>
      </c>
      <c r="D222" s="15">
        <v>507780.68</v>
      </c>
      <c r="E222" t="str">
        <f>IFERROR(VLOOKUP(C222,'LEAID Match'!$A$2:$B$214,2,FALSE),"")</f>
        <v/>
      </c>
    </row>
    <row r="223" spans="1:5">
      <c r="A223" t="s">
        <v>379</v>
      </c>
      <c r="B223">
        <v>2017</v>
      </c>
      <c r="C223" s="10" t="s">
        <v>282</v>
      </c>
      <c r="D223" s="15">
        <v>568836</v>
      </c>
      <c r="E223" t="str">
        <f>IFERROR(VLOOKUP(C223,'LEAID Match'!$A$2:$B$214,2,FALSE),"")</f>
        <v/>
      </c>
    </row>
    <row r="224" spans="1:5">
      <c r="A224" t="s">
        <v>379</v>
      </c>
      <c r="B224">
        <v>2018</v>
      </c>
      <c r="C224" s="10" t="s">
        <v>282</v>
      </c>
      <c r="E224" t="str">
        <f>IFERROR(VLOOKUP(C224,'LEAID Match'!$A$2:$B$214,2,FALSE),"")</f>
        <v/>
      </c>
    </row>
    <row r="225" spans="1:5">
      <c r="A225" t="s">
        <v>379</v>
      </c>
      <c r="B225">
        <v>2019</v>
      </c>
      <c r="C225" s="10" t="s">
        <v>282</v>
      </c>
      <c r="D225" s="15">
        <v>0</v>
      </c>
      <c r="E225" t="str">
        <f>IFERROR(VLOOKUP(C225,'LEAID Match'!$A$2:$B$214,2,FALSE),"")</f>
        <v/>
      </c>
    </row>
    <row r="226" spans="1:5">
      <c r="A226" t="s">
        <v>379</v>
      </c>
      <c r="B226">
        <v>2020</v>
      </c>
      <c r="C226" s="10" t="s">
        <v>282</v>
      </c>
      <c r="D226" s="15">
        <v>0</v>
      </c>
      <c r="E226" t="str">
        <f>IFERROR(VLOOKUP(C226,'LEAID Match'!$A$2:$B$214,2,FALSE),"")</f>
        <v/>
      </c>
    </row>
    <row r="227" spans="1:5">
      <c r="A227" t="s">
        <v>379</v>
      </c>
      <c r="B227">
        <v>2021</v>
      </c>
      <c r="C227" s="10" t="s">
        <v>282</v>
      </c>
      <c r="D227" s="15">
        <v>0</v>
      </c>
      <c r="E227" t="str">
        <f>IFERROR(VLOOKUP(C227,'LEAID Match'!$A$2:$B$214,2,FALSE),"")</f>
        <v/>
      </c>
    </row>
    <row r="228" spans="1:5">
      <c r="A228" t="s">
        <v>379</v>
      </c>
      <c r="B228">
        <v>2019</v>
      </c>
      <c r="C228" s="10" t="s">
        <v>318</v>
      </c>
      <c r="D228" s="15">
        <v>524701</v>
      </c>
      <c r="E228" t="str">
        <f>IFERROR(VLOOKUP(C228,'LEAID Match'!$A$2:$B$214,2,FALSE),"")</f>
        <v/>
      </c>
    </row>
    <row r="229" spans="1:5">
      <c r="A229" t="s">
        <v>379</v>
      </c>
      <c r="B229">
        <v>2020</v>
      </c>
      <c r="C229" s="10" t="s">
        <v>318</v>
      </c>
      <c r="D229" s="15">
        <v>537644</v>
      </c>
      <c r="E229" t="str">
        <f>IFERROR(VLOOKUP(C229,'LEAID Match'!$A$2:$B$214,2,FALSE),"")</f>
        <v/>
      </c>
    </row>
    <row r="230" spans="1:5">
      <c r="A230" t="s">
        <v>379</v>
      </c>
      <c r="B230">
        <v>2021</v>
      </c>
      <c r="C230" s="10" t="s">
        <v>318</v>
      </c>
      <c r="D230" s="15">
        <v>539816</v>
      </c>
      <c r="E230" t="str">
        <f>IFERROR(VLOOKUP(C230,'LEAID Match'!$A$2:$B$214,2,FALSE),"")</f>
        <v/>
      </c>
    </row>
    <row r="231" spans="1:5">
      <c r="A231" t="s">
        <v>379</v>
      </c>
      <c r="B231">
        <v>2022</v>
      </c>
      <c r="C231" s="10" t="s">
        <v>318</v>
      </c>
      <c r="D231" s="15">
        <v>1515327</v>
      </c>
      <c r="E231" t="str">
        <f>IFERROR(VLOOKUP(C231,'LEAID Match'!$A$2:$B$214,2,FALSE),"")</f>
        <v/>
      </c>
    </row>
    <row r="232" spans="1:5">
      <c r="A232" t="s">
        <v>379</v>
      </c>
      <c r="B232">
        <v>2019</v>
      </c>
      <c r="C232" s="10" t="s">
        <v>319</v>
      </c>
      <c r="D232" s="15">
        <v>648218</v>
      </c>
      <c r="E232" t="str">
        <f>IFERROR(VLOOKUP(C232,'LEAID Match'!$A$2:$B$214,2,FALSE),"")</f>
        <v/>
      </c>
    </row>
    <row r="233" spans="1:5">
      <c r="A233" t="s">
        <v>379</v>
      </c>
      <c r="B233">
        <v>2020</v>
      </c>
      <c r="C233" s="10" t="s">
        <v>319</v>
      </c>
      <c r="D233" s="15">
        <v>688086</v>
      </c>
      <c r="E233" t="str">
        <f>IFERROR(VLOOKUP(C233,'LEAID Match'!$A$2:$B$214,2,FALSE),"")</f>
        <v/>
      </c>
    </row>
    <row r="234" spans="1:5">
      <c r="A234" t="s">
        <v>379</v>
      </c>
      <c r="B234">
        <v>2021</v>
      </c>
      <c r="C234" s="10" t="s">
        <v>319</v>
      </c>
      <c r="D234" s="15">
        <v>726797</v>
      </c>
      <c r="E234" t="str">
        <f>IFERROR(VLOOKUP(C234,'LEAID Match'!$A$2:$B$214,2,FALSE),"")</f>
        <v/>
      </c>
    </row>
    <row r="235" spans="1:5">
      <c r="A235" t="s">
        <v>379</v>
      </c>
      <c r="B235">
        <v>2022</v>
      </c>
      <c r="C235" s="10" t="s">
        <v>319</v>
      </c>
      <c r="D235" s="15">
        <v>1833551</v>
      </c>
      <c r="E235" t="str">
        <f>IFERROR(VLOOKUP(C235,'LEAID Match'!$A$2:$B$214,2,FALSE),"")</f>
        <v/>
      </c>
    </row>
    <row r="236" spans="1:5">
      <c r="A236" t="s">
        <v>379</v>
      </c>
      <c r="B236">
        <v>2015</v>
      </c>
      <c r="C236" s="10" t="s">
        <v>67</v>
      </c>
      <c r="D236" s="15">
        <v>8102.34</v>
      </c>
      <c r="E236" t="str">
        <f>IFERROR(VLOOKUP(C236,'LEAID Match'!$A$2:$B$214,2,FALSE),"")</f>
        <v/>
      </c>
    </row>
    <row r="237" spans="1:5">
      <c r="A237" t="s">
        <v>379</v>
      </c>
      <c r="B237">
        <v>2016</v>
      </c>
      <c r="C237" s="10" t="s">
        <v>67</v>
      </c>
      <c r="D237" s="15">
        <v>10506.1</v>
      </c>
      <c r="E237" t="str">
        <f>IFERROR(VLOOKUP(C237,'LEAID Match'!$A$2:$B$214,2,FALSE),"")</f>
        <v/>
      </c>
    </row>
    <row r="238" spans="1:5">
      <c r="A238" t="s">
        <v>379</v>
      </c>
      <c r="B238">
        <v>2017</v>
      </c>
      <c r="C238" s="10" t="s">
        <v>67</v>
      </c>
      <c r="E238" t="str">
        <f>IFERROR(VLOOKUP(C238,'LEAID Match'!$A$2:$B$214,2,FALSE),"")</f>
        <v/>
      </c>
    </row>
    <row r="239" spans="1:5">
      <c r="A239" t="s">
        <v>379</v>
      </c>
      <c r="B239">
        <v>2018</v>
      </c>
      <c r="C239" s="10" t="s">
        <v>67</v>
      </c>
      <c r="E239" t="str">
        <f>IFERROR(VLOOKUP(C239,'LEAID Match'!$A$2:$B$214,2,FALSE),"")</f>
        <v/>
      </c>
    </row>
    <row r="240" spans="1:5">
      <c r="A240" t="s">
        <v>379</v>
      </c>
      <c r="B240">
        <v>2019</v>
      </c>
      <c r="C240" s="10" t="s">
        <v>67</v>
      </c>
      <c r="D240" s="15">
        <v>0</v>
      </c>
      <c r="E240" t="str">
        <f>IFERROR(VLOOKUP(C240,'LEAID Match'!$A$2:$B$214,2,FALSE),"")</f>
        <v/>
      </c>
    </row>
    <row r="241" spans="1:5">
      <c r="A241" t="s">
        <v>379</v>
      </c>
      <c r="B241">
        <v>2020</v>
      </c>
      <c r="C241" s="10" t="s">
        <v>67</v>
      </c>
      <c r="D241" s="15">
        <v>0</v>
      </c>
      <c r="E241" t="str">
        <f>IFERROR(VLOOKUP(C241,'LEAID Match'!$A$2:$B$214,2,FALSE),"")</f>
        <v/>
      </c>
    </row>
    <row r="242" spans="1:5">
      <c r="A242" t="s">
        <v>379</v>
      </c>
      <c r="B242">
        <v>2018</v>
      </c>
      <c r="C242" s="10" t="s">
        <v>310</v>
      </c>
      <c r="D242" s="15">
        <v>2478046</v>
      </c>
      <c r="E242" t="str">
        <f>IFERROR(VLOOKUP(C242,'LEAID Match'!$A$2:$B$214,2,FALSE),"")</f>
        <v/>
      </c>
    </row>
    <row r="243" spans="1:5">
      <c r="A243" t="s">
        <v>379</v>
      </c>
      <c r="B243">
        <v>2019</v>
      </c>
      <c r="C243" s="10" t="s">
        <v>310</v>
      </c>
      <c r="D243" s="15">
        <v>2620184</v>
      </c>
      <c r="E243" t="str">
        <f>IFERROR(VLOOKUP(C243,'LEAID Match'!$A$2:$B$214,2,FALSE),"")</f>
        <v/>
      </c>
    </row>
    <row r="244" spans="1:5">
      <c r="A244" t="s">
        <v>379</v>
      </c>
      <c r="B244">
        <v>2020</v>
      </c>
      <c r="C244" s="10" t="s">
        <v>310</v>
      </c>
      <c r="D244" s="15">
        <v>2695261</v>
      </c>
      <c r="E244" t="str">
        <f>IFERROR(VLOOKUP(C244,'LEAID Match'!$A$2:$B$214,2,FALSE),"")</f>
        <v/>
      </c>
    </row>
    <row r="245" spans="1:5">
      <c r="A245" t="s">
        <v>379</v>
      </c>
      <c r="B245">
        <v>2021</v>
      </c>
      <c r="C245" s="10" t="s">
        <v>310</v>
      </c>
      <c r="D245" s="15">
        <v>2810728</v>
      </c>
      <c r="E245" t="str">
        <f>IFERROR(VLOOKUP(C245,'LEAID Match'!$A$2:$B$214,2,FALSE),"")</f>
        <v/>
      </c>
    </row>
    <row r="246" spans="1:5">
      <c r="A246" t="s">
        <v>379</v>
      </c>
      <c r="B246">
        <v>2022</v>
      </c>
      <c r="C246" s="10" t="s">
        <v>310</v>
      </c>
      <c r="D246" s="15">
        <v>7094865</v>
      </c>
      <c r="E246" t="str">
        <f>IFERROR(VLOOKUP(C246,'LEAID Match'!$A$2:$B$214,2,FALSE),"")</f>
        <v/>
      </c>
    </row>
    <row r="247" spans="1:5">
      <c r="A247" t="s">
        <v>379</v>
      </c>
      <c r="B247">
        <v>2015</v>
      </c>
      <c r="C247" s="10" t="s">
        <v>74</v>
      </c>
      <c r="D247" s="15">
        <v>368894.49</v>
      </c>
      <c r="E247" t="str">
        <f>IFERROR(VLOOKUP(C247,'LEAID Match'!$A$2:$B$214,2,FALSE),"")</f>
        <v/>
      </c>
    </row>
    <row r="248" spans="1:5">
      <c r="A248" t="s">
        <v>379</v>
      </c>
      <c r="B248">
        <v>2016</v>
      </c>
      <c r="C248" s="10" t="s">
        <v>74</v>
      </c>
      <c r="D248" s="15">
        <v>343536.15</v>
      </c>
      <c r="E248" t="str">
        <f>IFERROR(VLOOKUP(C248,'LEAID Match'!$A$2:$B$214,2,FALSE),"")</f>
        <v/>
      </c>
    </row>
    <row r="249" spans="1:5">
      <c r="A249" t="s">
        <v>379</v>
      </c>
      <c r="B249">
        <v>2017</v>
      </c>
      <c r="C249" s="10" t="s">
        <v>74</v>
      </c>
      <c r="D249" s="15">
        <v>353196</v>
      </c>
      <c r="E249" t="str">
        <f>IFERROR(VLOOKUP(C249,'LEAID Match'!$A$2:$B$214,2,FALSE),"")</f>
        <v/>
      </c>
    </row>
    <row r="250" spans="1:5">
      <c r="A250" t="s">
        <v>379</v>
      </c>
      <c r="B250">
        <v>2018</v>
      </c>
      <c r="C250" s="10" t="s">
        <v>74</v>
      </c>
      <c r="E250" t="str">
        <f>IFERROR(VLOOKUP(C250,'LEAID Match'!$A$2:$B$214,2,FALSE),"")</f>
        <v/>
      </c>
    </row>
    <row r="251" spans="1:5">
      <c r="A251" t="s">
        <v>379</v>
      </c>
      <c r="B251">
        <v>2019</v>
      </c>
      <c r="C251" s="10" t="s">
        <v>74</v>
      </c>
      <c r="D251" s="15">
        <v>0</v>
      </c>
      <c r="E251" t="str">
        <f>IFERROR(VLOOKUP(C251,'LEAID Match'!$A$2:$B$214,2,FALSE),"")</f>
        <v/>
      </c>
    </row>
    <row r="252" spans="1:5">
      <c r="A252" t="s">
        <v>379</v>
      </c>
      <c r="B252">
        <v>2020</v>
      </c>
      <c r="C252" s="10" t="s">
        <v>74</v>
      </c>
      <c r="D252" s="15">
        <v>0</v>
      </c>
      <c r="E252" t="str">
        <f>IFERROR(VLOOKUP(C252,'LEAID Match'!$A$2:$B$214,2,FALSE),"")</f>
        <v/>
      </c>
    </row>
    <row r="253" spans="1:5">
      <c r="A253" t="s">
        <v>379</v>
      </c>
      <c r="B253">
        <v>2021</v>
      </c>
      <c r="C253" s="10" t="s">
        <v>74</v>
      </c>
      <c r="D253" s="15">
        <v>0</v>
      </c>
      <c r="E253" t="str">
        <f>IFERROR(VLOOKUP(C253,'LEAID Match'!$A$2:$B$214,2,FALSE),"")</f>
        <v/>
      </c>
    </row>
    <row r="254" spans="1:5">
      <c r="A254" t="s">
        <v>379</v>
      </c>
      <c r="B254">
        <v>2015</v>
      </c>
      <c r="C254" s="10" t="s">
        <v>77</v>
      </c>
      <c r="D254" s="15">
        <v>169912.5</v>
      </c>
      <c r="E254" t="str">
        <f>IFERROR(VLOOKUP(C254,'LEAID Match'!$A$2:$B$214,2,FALSE),"")</f>
        <v/>
      </c>
    </row>
    <row r="255" spans="1:5">
      <c r="A255" t="s">
        <v>379</v>
      </c>
      <c r="B255">
        <v>2016</v>
      </c>
      <c r="C255" s="10" t="s">
        <v>77</v>
      </c>
      <c r="D255" s="15">
        <v>168460.11</v>
      </c>
      <c r="E255" t="str">
        <f>IFERROR(VLOOKUP(C255,'LEAID Match'!$A$2:$B$214,2,FALSE),"")</f>
        <v/>
      </c>
    </row>
    <row r="256" spans="1:5">
      <c r="A256" t="s">
        <v>379</v>
      </c>
      <c r="B256">
        <v>2017</v>
      </c>
      <c r="C256" s="10" t="s">
        <v>77</v>
      </c>
      <c r="D256" s="15">
        <v>132644</v>
      </c>
      <c r="E256" t="str">
        <f>IFERROR(VLOOKUP(C256,'LEAID Match'!$A$2:$B$214,2,FALSE),"")</f>
        <v/>
      </c>
    </row>
    <row r="257" spans="1:5">
      <c r="A257" t="s">
        <v>379</v>
      </c>
      <c r="B257">
        <v>2018</v>
      </c>
      <c r="C257" s="10" t="s">
        <v>77</v>
      </c>
      <c r="E257" t="str">
        <f>IFERROR(VLOOKUP(C257,'LEAID Match'!$A$2:$B$214,2,FALSE),"")</f>
        <v/>
      </c>
    </row>
    <row r="258" spans="1:5">
      <c r="A258" t="s">
        <v>379</v>
      </c>
      <c r="B258">
        <v>2019</v>
      </c>
      <c r="C258" s="10" t="s">
        <v>77</v>
      </c>
      <c r="D258" s="15">
        <v>0</v>
      </c>
      <c r="E258" t="str">
        <f>IFERROR(VLOOKUP(C258,'LEAID Match'!$A$2:$B$214,2,FALSE),"")</f>
        <v/>
      </c>
    </row>
    <row r="259" spans="1:5">
      <c r="A259" t="s">
        <v>379</v>
      </c>
      <c r="B259">
        <v>2020</v>
      </c>
      <c r="C259" s="10" t="s">
        <v>77</v>
      </c>
      <c r="D259" s="15">
        <v>0</v>
      </c>
      <c r="E259" t="str">
        <f>IFERROR(VLOOKUP(C259,'LEAID Match'!$A$2:$B$214,2,FALSE),"")</f>
        <v/>
      </c>
    </row>
    <row r="260" spans="1:5">
      <c r="A260" t="s">
        <v>379</v>
      </c>
      <c r="B260">
        <v>2021</v>
      </c>
      <c r="C260" s="10" t="s">
        <v>77</v>
      </c>
      <c r="D260" s="15">
        <v>0</v>
      </c>
      <c r="E260" t="str">
        <f>IFERROR(VLOOKUP(C260,'LEAID Match'!$A$2:$B$214,2,FALSE),"")</f>
        <v/>
      </c>
    </row>
    <row r="261" spans="1:5">
      <c r="A261" t="s">
        <v>379</v>
      </c>
      <c r="B261">
        <v>2015</v>
      </c>
      <c r="C261" s="10" t="s">
        <v>82</v>
      </c>
      <c r="D261" s="15">
        <v>30413.119999999999</v>
      </c>
      <c r="E261" t="str">
        <f>IFERROR(VLOOKUP(C261,'LEAID Match'!$A$2:$B$214,2,FALSE),"")</f>
        <v/>
      </c>
    </row>
    <row r="262" spans="1:5">
      <c r="A262" t="s">
        <v>379</v>
      </c>
      <c r="B262">
        <v>2016</v>
      </c>
      <c r="C262" s="10" t="s">
        <v>82</v>
      </c>
      <c r="E262" t="str">
        <f>IFERROR(VLOOKUP(C262,'LEAID Match'!$A$2:$B$214,2,FALSE),"")</f>
        <v/>
      </c>
    </row>
    <row r="263" spans="1:5">
      <c r="A263" t="s">
        <v>379</v>
      </c>
      <c r="B263">
        <v>2017</v>
      </c>
      <c r="C263" s="10" t="s">
        <v>82</v>
      </c>
      <c r="E263" t="str">
        <f>IFERROR(VLOOKUP(C263,'LEAID Match'!$A$2:$B$214,2,FALSE),"")</f>
        <v/>
      </c>
    </row>
    <row r="264" spans="1:5">
      <c r="A264" t="s">
        <v>379</v>
      </c>
      <c r="B264">
        <v>2018</v>
      </c>
      <c r="C264" s="10" t="s">
        <v>82</v>
      </c>
      <c r="E264" t="str">
        <f>IFERROR(VLOOKUP(C264,'LEAID Match'!$A$2:$B$214,2,FALSE),"")</f>
        <v/>
      </c>
    </row>
    <row r="265" spans="1:5">
      <c r="A265" t="s">
        <v>379</v>
      </c>
      <c r="B265">
        <v>2019</v>
      </c>
      <c r="C265" s="10" t="s">
        <v>82</v>
      </c>
      <c r="D265" s="15">
        <v>0</v>
      </c>
      <c r="E265" t="str">
        <f>IFERROR(VLOOKUP(C265,'LEAID Match'!$A$2:$B$214,2,FALSE),"")</f>
        <v/>
      </c>
    </row>
    <row r="266" spans="1:5">
      <c r="A266" t="s">
        <v>379</v>
      </c>
      <c r="B266">
        <v>2015</v>
      </c>
      <c r="C266" s="10" t="s">
        <v>83</v>
      </c>
      <c r="D266" s="15">
        <v>141060.16</v>
      </c>
      <c r="E266" t="str">
        <f>IFERROR(VLOOKUP(C266,'LEAID Match'!$A$2:$B$214,2,FALSE),"")</f>
        <v/>
      </c>
    </row>
    <row r="267" spans="1:5">
      <c r="A267" t="s">
        <v>379</v>
      </c>
      <c r="B267">
        <v>2016</v>
      </c>
      <c r="C267" s="10" t="s">
        <v>83</v>
      </c>
      <c r="D267" s="15">
        <v>149189.91</v>
      </c>
      <c r="E267" t="str">
        <f>IFERROR(VLOOKUP(C267,'LEAID Match'!$A$2:$B$214,2,FALSE),"")</f>
        <v/>
      </c>
    </row>
    <row r="268" spans="1:5">
      <c r="A268" t="s">
        <v>379</v>
      </c>
      <c r="B268">
        <v>2017</v>
      </c>
      <c r="C268" s="10" t="s">
        <v>83</v>
      </c>
      <c r="D268" s="15">
        <v>144382</v>
      </c>
      <c r="E268" t="str">
        <f>IFERROR(VLOOKUP(C268,'LEAID Match'!$A$2:$B$214,2,FALSE),"")</f>
        <v/>
      </c>
    </row>
    <row r="269" spans="1:5">
      <c r="A269" t="s">
        <v>379</v>
      </c>
      <c r="B269">
        <v>2018</v>
      </c>
      <c r="C269" s="10" t="s">
        <v>83</v>
      </c>
      <c r="E269" t="str">
        <f>IFERROR(VLOOKUP(C269,'LEAID Match'!$A$2:$B$214,2,FALSE),"")</f>
        <v/>
      </c>
    </row>
    <row r="270" spans="1:5">
      <c r="A270" t="s">
        <v>379</v>
      </c>
      <c r="B270">
        <v>2019</v>
      </c>
      <c r="C270" s="10" t="s">
        <v>83</v>
      </c>
      <c r="D270" s="15">
        <v>0</v>
      </c>
      <c r="E270" t="str">
        <f>IFERROR(VLOOKUP(C270,'LEAID Match'!$A$2:$B$214,2,FALSE),"")</f>
        <v/>
      </c>
    </row>
    <row r="271" spans="1:5">
      <c r="A271" t="s">
        <v>379</v>
      </c>
      <c r="B271">
        <v>2020</v>
      </c>
      <c r="C271" s="10" t="s">
        <v>83</v>
      </c>
      <c r="D271" s="15">
        <v>0</v>
      </c>
      <c r="E271" t="str">
        <f>IFERROR(VLOOKUP(C271,'LEAID Match'!$A$2:$B$214,2,FALSE),"")</f>
        <v/>
      </c>
    </row>
    <row r="272" spans="1:5">
      <c r="A272" t="s">
        <v>379</v>
      </c>
      <c r="B272">
        <v>2021</v>
      </c>
      <c r="C272" s="10" t="s">
        <v>83</v>
      </c>
      <c r="D272" s="15">
        <v>0</v>
      </c>
      <c r="E272" t="str">
        <f>IFERROR(VLOOKUP(C272,'LEAID Match'!$A$2:$B$214,2,FALSE),"")</f>
        <v/>
      </c>
    </row>
    <row r="273" spans="1:5">
      <c r="A273" t="s">
        <v>379</v>
      </c>
      <c r="B273">
        <v>2019</v>
      </c>
      <c r="C273" s="10" t="s">
        <v>320</v>
      </c>
      <c r="D273" s="15">
        <v>1583712</v>
      </c>
      <c r="E273" t="str">
        <f>IFERROR(VLOOKUP(C273,'LEAID Match'!$A$2:$B$214,2,FALSE),"")</f>
        <v/>
      </c>
    </row>
    <row r="274" spans="1:5">
      <c r="A274" t="s">
        <v>379</v>
      </c>
      <c r="B274">
        <v>2020</v>
      </c>
      <c r="C274" s="10" t="s">
        <v>320</v>
      </c>
      <c r="D274" s="15">
        <v>1722945</v>
      </c>
      <c r="E274" t="str">
        <f>IFERROR(VLOOKUP(C274,'LEAID Match'!$A$2:$B$214,2,FALSE),"")</f>
        <v/>
      </c>
    </row>
    <row r="275" spans="1:5">
      <c r="A275" t="s">
        <v>379</v>
      </c>
      <c r="B275">
        <v>2021</v>
      </c>
      <c r="C275" s="10" t="s">
        <v>320</v>
      </c>
      <c r="D275" s="15">
        <v>1885608</v>
      </c>
      <c r="E275" t="str">
        <f>IFERROR(VLOOKUP(C275,'LEAID Match'!$A$2:$B$214,2,FALSE),"")</f>
        <v/>
      </c>
    </row>
    <row r="276" spans="1:5">
      <c r="A276" t="s">
        <v>379</v>
      </c>
      <c r="B276">
        <v>2022</v>
      </c>
      <c r="C276" s="10" t="s">
        <v>320</v>
      </c>
      <c r="D276" s="15">
        <v>4700685</v>
      </c>
      <c r="E276" t="str">
        <f>IFERROR(VLOOKUP(C276,'LEAID Match'!$A$2:$B$214,2,FALSE),"")</f>
        <v/>
      </c>
    </row>
    <row r="277" spans="1:5">
      <c r="A277" t="s">
        <v>379</v>
      </c>
      <c r="B277">
        <v>2020</v>
      </c>
      <c r="C277" s="10" t="s">
        <v>339</v>
      </c>
      <c r="D277" s="15">
        <v>680467</v>
      </c>
      <c r="E277" t="str">
        <f>IFERROR(VLOOKUP(C277,'LEAID Match'!$A$2:$B$214,2,FALSE),"")</f>
        <v/>
      </c>
    </row>
    <row r="278" spans="1:5">
      <c r="A278" t="s">
        <v>379</v>
      </c>
      <c r="B278">
        <v>2021</v>
      </c>
      <c r="C278" s="10" t="s">
        <v>339</v>
      </c>
      <c r="D278" s="15">
        <v>765435</v>
      </c>
      <c r="E278" t="str">
        <f>IFERROR(VLOOKUP(C278,'LEAID Match'!$A$2:$B$214,2,FALSE),"")</f>
        <v/>
      </c>
    </row>
    <row r="279" spans="1:5">
      <c r="A279" t="s">
        <v>379</v>
      </c>
      <c r="B279">
        <v>2022</v>
      </c>
      <c r="C279" s="10" t="s">
        <v>339</v>
      </c>
      <c r="D279" s="15">
        <v>1967030</v>
      </c>
      <c r="E279" t="str">
        <f>IFERROR(VLOOKUP(C279,'LEAID Match'!$A$2:$B$214,2,FALSE),"")</f>
        <v/>
      </c>
    </row>
    <row r="280" spans="1:5">
      <c r="A280" t="s">
        <v>379</v>
      </c>
      <c r="B280">
        <v>2018</v>
      </c>
      <c r="C280" s="10" t="s">
        <v>311</v>
      </c>
      <c r="D280" s="15">
        <v>1507430</v>
      </c>
      <c r="E280" t="str">
        <f>IFERROR(VLOOKUP(C280,'LEAID Match'!$A$2:$B$214,2,FALSE),"")</f>
        <v/>
      </c>
    </row>
    <row r="281" spans="1:5">
      <c r="A281" t="s">
        <v>379</v>
      </c>
      <c r="B281">
        <v>2019</v>
      </c>
      <c r="C281" s="10" t="s">
        <v>311</v>
      </c>
      <c r="D281" s="15">
        <v>1561444</v>
      </c>
      <c r="E281" t="str">
        <f>IFERROR(VLOOKUP(C281,'LEAID Match'!$A$2:$B$214,2,FALSE),"")</f>
        <v/>
      </c>
    </row>
    <row r="282" spans="1:5">
      <c r="A282" t="s">
        <v>379</v>
      </c>
      <c r="B282">
        <v>2020</v>
      </c>
      <c r="C282" s="10" t="s">
        <v>311</v>
      </c>
      <c r="D282" s="15">
        <v>1648690</v>
      </c>
      <c r="E282" t="str">
        <f>IFERROR(VLOOKUP(C282,'LEAID Match'!$A$2:$B$214,2,FALSE),"")</f>
        <v/>
      </c>
    </row>
    <row r="283" spans="1:5">
      <c r="A283" t="s">
        <v>379</v>
      </c>
      <c r="B283">
        <v>2021</v>
      </c>
      <c r="C283" s="10" t="s">
        <v>311</v>
      </c>
      <c r="D283" s="15">
        <v>1701938</v>
      </c>
      <c r="E283" t="str">
        <f>IFERROR(VLOOKUP(C283,'LEAID Match'!$A$2:$B$214,2,FALSE),"")</f>
        <v/>
      </c>
    </row>
    <row r="284" spans="1:5">
      <c r="A284" t="s">
        <v>379</v>
      </c>
      <c r="B284">
        <v>2022</v>
      </c>
      <c r="C284" s="10" t="s">
        <v>311</v>
      </c>
      <c r="D284" s="15">
        <v>4278936</v>
      </c>
      <c r="E284" t="str">
        <f>IFERROR(VLOOKUP(C284,'LEAID Match'!$A$2:$B$214,2,FALSE),"")</f>
        <v/>
      </c>
    </row>
    <row r="285" spans="1:5">
      <c r="A285" t="s">
        <v>379</v>
      </c>
      <c r="B285">
        <v>2020</v>
      </c>
      <c r="C285" s="10" t="s">
        <v>340</v>
      </c>
      <c r="D285" s="15">
        <v>2105165</v>
      </c>
      <c r="E285" t="str">
        <f>IFERROR(VLOOKUP(C285,'LEAID Match'!$A$2:$B$214,2,FALSE),"")</f>
        <v/>
      </c>
    </row>
    <row r="286" spans="1:5">
      <c r="A286" t="s">
        <v>379</v>
      </c>
      <c r="B286">
        <v>2021</v>
      </c>
      <c r="C286" s="10" t="s">
        <v>340</v>
      </c>
      <c r="D286" s="15">
        <v>2186910</v>
      </c>
      <c r="E286" t="str">
        <f>IFERROR(VLOOKUP(C286,'LEAID Match'!$A$2:$B$214,2,FALSE),"")</f>
        <v/>
      </c>
    </row>
    <row r="287" spans="1:5">
      <c r="A287" t="s">
        <v>379</v>
      </c>
      <c r="B287">
        <v>2022</v>
      </c>
      <c r="C287" s="10" t="s">
        <v>340</v>
      </c>
      <c r="D287" s="15">
        <v>5751976</v>
      </c>
      <c r="E287" t="str">
        <f>IFERROR(VLOOKUP(C287,'LEAID Match'!$A$2:$B$214,2,FALSE),"")</f>
        <v/>
      </c>
    </row>
    <row r="288" spans="1:5">
      <c r="A288" t="s">
        <v>379</v>
      </c>
      <c r="B288">
        <v>2015</v>
      </c>
      <c r="C288" s="10" t="s">
        <v>248</v>
      </c>
      <c r="D288" s="15">
        <v>789985.53</v>
      </c>
      <c r="E288" t="str">
        <f>IFERROR(VLOOKUP(C288,'LEAID Match'!$A$2:$B$214,2,FALSE),"")</f>
        <v/>
      </c>
    </row>
    <row r="289" spans="1:5">
      <c r="A289" t="s">
        <v>379</v>
      </c>
      <c r="B289">
        <v>2016</v>
      </c>
      <c r="C289" s="10" t="s">
        <v>248</v>
      </c>
      <c r="D289" s="15">
        <v>708551.06</v>
      </c>
      <c r="E289" t="str">
        <f>IFERROR(VLOOKUP(C289,'LEAID Match'!$A$2:$B$214,2,FALSE),"")</f>
        <v/>
      </c>
    </row>
    <row r="290" spans="1:5">
      <c r="A290" t="s">
        <v>379</v>
      </c>
      <c r="B290">
        <v>2017</v>
      </c>
      <c r="C290" s="10" t="s">
        <v>248</v>
      </c>
      <c r="D290" s="15">
        <v>634968</v>
      </c>
      <c r="E290" t="str">
        <f>IFERROR(VLOOKUP(C290,'LEAID Match'!$A$2:$B$214,2,FALSE),"")</f>
        <v/>
      </c>
    </row>
    <row r="291" spans="1:5">
      <c r="A291" t="s">
        <v>379</v>
      </c>
      <c r="B291">
        <v>2018</v>
      </c>
      <c r="C291" s="10" t="s">
        <v>248</v>
      </c>
      <c r="E291" t="str">
        <f>IFERROR(VLOOKUP(C291,'LEAID Match'!$A$2:$B$214,2,FALSE),"")</f>
        <v/>
      </c>
    </row>
    <row r="292" spans="1:5">
      <c r="A292" t="s">
        <v>379</v>
      </c>
      <c r="B292">
        <v>2019</v>
      </c>
      <c r="C292" s="10" t="s">
        <v>248</v>
      </c>
      <c r="D292" s="15">
        <v>0</v>
      </c>
      <c r="E292" t="str">
        <f>IFERROR(VLOOKUP(C292,'LEAID Match'!$A$2:$B$214,2,FALSE),"")</f>
        <v/>
      </c>
    </row>
    <row r="293" spans="1:5">
      <c r="A293" t="s">
        <v>379</v>
      </c>
      <c r="B293">
        <v>2020</v>
      </c>
      <c r="C293" s="10" t="s">
        <v>248</v>
      </c>
      <c r="D293" s="15">
        <v>0</v>
      </c>
      <c r="E293" t="str">
        <f>IFERROR(VLOOKUP(C293,'LEAID Match'!$A$2:$B$214,2,FALSE),"")</f>
        <v/>
      </c>
    </row>
    <row r="294" spans="1:5">
      <c r="A294" t="s">
        <v>379</v>
      </c>
      <c r="B294">
        <v>2021</v>
      </c>
      <c r="C294" s="10" t="s">
        <v>248</v>
      </c>
      <c r="D294" s="15">
        <v>0</v>
      </c>
      <c r="E294" t="str">
        <f>IFERROR(VLOOKUP(C294,'LEAID Match'!$A$2:$B$214,2,FALSE),"")</f>
        <v/>
      </c>
    </row>
    <row r="295" spans="1:5">
      <c r="A295" t="s">
        <v>379</v>
      </c>
      <c r="B295">
        <v>2015</v>
      </c>
      <c r="C295" s="10" t="s">
        <v>84</v>
      </c>
      <c r="D295" s="15">
        <v>41125.47</v>
      </c>
      <c r="E295" t="str">
        <f>IFERROR(VLOOKUP(C295,'LEAID Match'!$A$2:$B$214,2,FALSE),"")</f>
        <v/>
      </c>
    </row>
    <row r="296" spans="1:5">
      <c r="A296" t="s">
        <v>379</v>
      </c>
      <c r="B296">
        <v>2016</v>
      </c>
      <c r="C296" s="10" t="s">
        <v>84</v>
      </c>
      <c r="D296" s="15">
        <v>42212.9</v>
      </c>
      <c r="E296" t="str">
        <f>IFERROR(VLOOKUP(C296,'LEAID Match'!$A$2:$B$214,2,FALSE),"")</f>
        <v/>
      </c>
    </row>
    <row r="297" spans="1:5">
      <c r="A297" t="s">
        <v>379</v>
      </c>
      <c r="B297">
        <v>2017</v>
      </c>
      <c r="C297" s="10" t="s">
        <v>84</v>
      </c>
      <c r="E297" t="str">
        <f>IFERROR(VLOOKUP(C297,'LEAID Match'!$A$2:$B$214,2,FALSE),"")</f>
        <v/>
      </c>
    </row>
    <row r="298" spans="1:5">
      <c r="A298" t="s">
        <v>379</v>
      </c>
      <c r="B298">
        <v>2018</v>
      </c>
      <c r="C298" s="10" t="s">
        <v>84</v>
      </c>
      <c r="E298" t="str">
        <f>IFERROR(VLOOKUP(C298,'LEAID Match'!$A$2:$B$214,2,FALSE),"")</f>
        <v/>
      </c>
    </row>
    <row r="299" spans="1:5">
      <c r="A299" t="s">
        <v>379</v>
      </c>
      <c r="B299">
        <v>2019</v>
      </c>
      <c r="C299" s="10" t="s">
        <v>84</v>
      </c>
      <c r="D299" s="15">
        <v>0</v>
      </c>
      <c r="E299" t="str">
        <f>IFERROR(VLOOKUP(C299,'LEAID Match'!$A$2:$B$214,2,FALSE),"")</f>
        <v/>
      </c>
    </row>
    <row r="300" spans="1:5">
      <c r="A300" t="s">
        <v>379</v>
      </c>
      <c r="B300">
        <v>2020</v>
      </c>
      <c r="C300" s="10" t="s">
        <v>84</v>
      </c>
      <c r="D300" s="15">
        <v>0</v>
      </c>
      <c r="E300" t="str">
        <f>IFERROR(VLOOKUP(C300,'LEAID Match'!$A$2:$B$214,2,FALSE),"")</f>
        <v/>
      </c>
    </row>
    <row r="301" spans="1:5">
      <c r="A301" t="s">
        <v>379</v>
      </c>
      <c r="B301">
        <v>2019</v>
      </c>
      <c r="C301" s="10" t="s">
        <v>321</v>
      </c>
      <c r="D301" s="15">
        <v>389872</v>
      </c>
      <c r="E301" t="str">
        <f>IFERROR(VLOOKUP(C301,'LEAID Match'!$A$2:$B$214,2,FALSE),"")</f>
        <v/>
      </c>
    </row>
    <row r="302" spans="1:5">
      <c r="A302" t="s">
        <v>379</v>
      </c>
      <c r="B302">
        <v>2020</v>
      </c>
      <c r="C302" s="10" t="s">
        <v>321</v>
      </c>
      <c r="D302" s="15">
        <v>415248</v>
      </c>
      <c r="E302" t="str">
        <f>IFERROR(VLOOKUP(C302,'LEAID Match'!$A$2:$B$214,2,FALSE),"")</f>
        <v/>
      </c>
    </row>
    <row r="303" spans="1:5">
      <c r="A303" t="s">
        <v>379</v>
      </c>
      <c r="B303">
        <v>2021</v>
      </c>
      <c r="C303" s="10" t="s">
        <v>321</v>
      </c>
      <c r="D303" s="15">
        <v>279898</v>
      </c>
      <c r="E303" t="str">
        <f>IFERROR(VLOOKUP(C303,'LEAID Match'!$A$2:$B$214,2,FALSE),"")</f>
        <v/>
      </c>
    </row>
    <row r="304" spans="1:5">
      <c r="A304" t="s">
        <v>379</v>
      </c>
      <c r="B304">
        <v>2022</v>
      </c>
      <c r="C304" s="10" t="s">
        <v>321</v>
      </c>
      <c r="D304" s="15">
        <v>641989</v>
      </c>
      <c r="E304" t="str">
        <f>IFERROR(VLOOKUP(C304,'LEAID Match'!$A$2:$B$214,2,FALSE),"")</f>
        <v/>
      </c>
    </row>
    <row r="305" spans="1:5">
      <c r="A305" t="s">
        <v>379</v>
      </c>
      <c r="B305">
        <v>2018</v>
      </c>
      <c r="C305" s="10" t="s">
        <v>312</v>
      </c>
      <c r="D305" s="15">
        <v>3615402</v>
      </c>
      <c r="E305" t="str">
        <f>IFERROR(VLOOKUP(C305,'LEAID Match'!$A$2:$B$214,2,FALSE),"")</f>
        <v/>
      </c>
    </row>
    <row r="306" spans="1:5">
      <c r="A306" t="s">
        <v>379</v>
      </c>
      <c r="B306">
        <v>2019</v>
      </c>
      <c r="C306" s="10" t="s">
        <v>312</v>
      </c>
      <c r="D306" s="15">
        <v>3666531</v>
      </c>
      <c r="E306" t="str">
        <f>IFERROR(VLOOKUP(C306,'LEAID Match'!$A$2:$B$214,2,FALSE),"")</f>
        <v/>
      </c>
    </row>
    <row r="307" spans="1:5">
      <c r="A307" t="s">
        <v>379</v>
      </c>
      <c r="B307">
        <v>2020</v>
      </c>
      <c r="C307" s="10" t="s">
        <v>312</v>
      </c>
      <c r="D307" s="15">
        <v>3836800</v>
      </c>
      <c r="E307" t="str">
        <f>IFERROR(VLOOKUP(C307,'LEAID Match'!$A$2:$B$214,2,FALSE),"")</f>
        <v/>
      </c>
    </row>
    <row r="308" spans="1:5">
      <c r="A308" t="s">
        <v>379</v>
      </c>
      <c r="B308">
        <v>2021</v>
      </c>
      <c r="C308" s="10" t="s">
        <v>312</v>
      </c>
      <c r="D308" s="15">
        <v>3965038</v>
      </c>
      <c r="E308" t="str">
        <f>IFERROR(VLOOKUP(C308,'LEAID Match'!$A$2:$B$214,2,FALSE),"")</f>
        <v/>
      </c>
    </row>
    <row r="309" spans="1:5">
      <c r="A309" t="s">
        <v>379</v>
      </c>
      <c r="B309">
        <v>2022</v>
      </c>
      <c r="C309" s="10" t="s">
        <v>312</v>
      </c>
      <c r="D309" s="15">
        <v>10271675</v>
      </c>
      <c r="E309" t="str">
        <f>IFERROR(VLOOKUP(C309,'LEAID Match'!$A$2:$B$214,2,FALSE),"")</f>
        <v/>
      </c>
    </row>
    <row r="310" spans="1:5">
      <c r="A310" t="s">
        <v>379</v>
      </c>
      <c r="B310">
        <v>2019</v>
      </c>
      <c r="C310" s="10" t="s">
        <v>322</v>
      </c>
      <c r="D310" s="15">
        <v>194666</v>
      </c>
      <c r="E310" t="str">
        <f>IFERROR(VLOOKUP(C310,'LEAID Match'!$A$2:$B$214,2,FALSE),"")</f>
        <v/>
      </c>
    </row>
    <row r="311" spans="1:5">
      <c r="A311" t="s">
        <v>379</v>
      </c>
      <c r="B311">
        <v>2020</v>
      </c>
      <c r="C311" s="10" t="s">
        <v>322</v>
      </c>
      <c r="D311" s="15">
        <v>204156</v>
      </c>
      <c r="E311" t="str">
        <f>IFERROR(VLOOKUP(C311,'LEAID Match'!$A$2:$B$214,2,FALSE),"")</f>
        <v/>
      </c>
    </row>
    <row r="312" spans="1:5">
      <c r="A312" t="s">
        <v>379</v>
      </c>
      <c r="B312">
        <v>2021</v>
      </c>
      <c r="C312" s="10" t="s">
        <v>322</v>
      </c>
      <c r="D312" s="15">
        <v>207506</v>
      </c>
      <c r="E312" t="str">
        <f>IFERROR(VLOOKUP(C312,'LEAID Match'!$A$2:$B$214,2,FALSE),"")</f>
        <v/>
      </c>
    </row>
    <row r="313" spans="1:5">
      <c r="A313" t="s">
        <v>379</v>
      </c>
      <c r="B313">
        <v>2022</v>
      </c>
      <c r="C313" s="10" t="s">
        <v>322</v>
      </c>
      <c r="D313" s="15">
        <v>433998</v>
      </c>
      <c r="E313" t="str">
        <f>IFERROR(VLOOKUP(C313,'LEAID Match'!$A$2:$B$214,2,FALSE),"")</f>
        <v/>
      </c>
    </row>
    <row r="314" spans="1:5">
      <c r="A314" t="s">
        <v>379</v>
      </c>
      <c r="B314">
        <v>2015</v>
      </c>
      <c r="C314" s="10" t="s">
        <v>92</v>
      </c>
      <c r="D314" s="15">
        <v>258133.2</v>
      </c>
      <c r="E314" t="str">
        <f>IFERROR(VLOOKUP(C314,'LEAID Match'!$A$2:$B$214,2,FALSE),"")</f>
        <v/>
      </c>
    </row>
    <row r="315" spans="1:5">
      <c r="A315" t="s">
        <v>379</v>
      </c>
      <c r="B315">
        <v>2016</v>
      </c>
      <c r="C315" s="10" t="s">
        <v>92</v>
      </c>
      <c r="D315" s="15">
        <v>254826.27</v>
      </c>
      <c r="E315" t="str">
        <f>IFERROR(VLOOKUP(C315,'LEAID Match'!$A$2:$B$214,2,FALSE),"")</f>
        <v/>
      </c>
    </row>
    <row r="316" spans="1:5">
      <c r="A316" t="s">
        <v>379</v>
      </c>
      <c r="B316">
        <v>2017</v>
      </c>
      <c r="C316" s="10" t="s">
        <v>92</v>
      </c>
      <c r="D316" s="15">
        <v>278082</v>
      </c>
      <c r="E316" t="str">
        <f>IFERROR(VLOOKUP(C316,'LEAID Match'!$A$2:$B$214,2,FALSE),"")</f>
        <v/>
      </c>
    </row>
    <row r="317" spans="1:5">
      <c r="A317" t="s">
        <v>379</v>
      </c>
      <c r="B317">
        <v>2018</v>
      </c>
      <c r="C317" s="10" t="s">
        <v>92</v>
      </c>
      <c r="E317" t="str">
        <f>IFERROR(VLOOKUP(C317,'LEAID Match'!$A$2:$B$214,2,FALSE),"")</f>
        <v/>
      </c>
    </row>
    <row r="318" spans="1:5">
      <c r="A318" t="s">
        <v>379</v>
      </c>
      <c r="B318">
        <v>2019</v>
      </c>
      <c r="C318" s="10" t="s">
        <v>92</v>
      </c>
      <c r="D318" s="15">
        <v>0</v>
      </c>
      <c r="E318" t="str">
        <f>IFERROR(VLOOKUP(C318,'LEAID Match'!$A$2:$B$214,2,FALSE),"")</f>
        <v/>
      </c>
    </row>
    <row r="319" spans="1:5">
      <c r="A319" t="s">
        <v>379</v>
      </c>
      <c r="B319">
        <v>2020</v>
      </c>
      <c r="C319" s="10" t="s">
        <v>92</v>
      </c>
      <c r="D319" s="15">
        <v>0</v>
      </c>
      <c r="E319" t="str">
        <f>IFERROR(VLOOKUP(C319,'LEAID Match'!$A$2:$B$214,2,FALSE),"")</f>
        <v/>
      </c>
    </row>
    <row r="320" spans="1:5">
      <c r="A320" t="s">
        <v>379</v>
      </c>
      <c r="B320">
        <v>2021</v>
      </c>
      <c r="C320" s="10" t="s">
        <v>92</v>
      </c>
      <c r="D320" s="15">
        <v>0</v>
      </c>
      <c r="E320" t="str">
        <f>IFERROR(VLOOKUP(C320,'LEAID Match'!$A$2:$B$214,2,FALSE),"")</f>
        <v/>
      </c>
    </row>
    <row r="321" spans="1:5">
      <c r="A321" t="s">
        <v>379</v>
      </c>
      <c r="B321">
        <v>2015</v>
      </c>
      <c r="C321" s="10" t="s">
        <v>215</v>
      </c>
      <c r="D321" s="15">
        <v>666337.46</v>
      </c>
      <c r="E321" t="str">
        <f>IFERROR(VLOOKUP(C321,'LEAID Match'!$A$2:$B$214,2,FALSE),"")</f>
        <v/>
      </c>
    </row>
    <row r="322" spans="1:5">
      <c r="A322" t="s">
        <v>379</v>
      </c>
      <c r="B322">
        <v>2016</v>
      </c>
      <c r="C322" s="10" t="s">
        <v>215</v>
      </c>
      <c r="D322" s="15">
        <v>660905.84</v>
      </c>
      <c r="E322" t="str">
        <f>IFERROR(VLOOKUP(C322,'LEAID Match'!$A$2:$B$214,2,FALSE),"")</f>
        <v/>
      </c>
    </row>
    <row r="323" spans="1:5">
      <c r="A323" t="s">
        <v>379</v>
      </c>
      <c r="B323">
        <v>2017</v>
      </c>
      <c r="C323" s="10" t="s">
        <v>215</v>
      </c>
      <c r="D323" s="15">
        <v>691993</v>
      </c>
      <c r="E323" t="str">
        <f>IFERROR(VLOOKUP(C323,'LEAID Match'!$A$2:$B$214,2,FALSE),"")</f>
        <v/>
      </c>
    </row>
    <row r="324" spans="1:5">
      <c r="A324" t="s">
        <v>379</v>
      </c>
      <c r="B324">
        <v>2018</v>
      </c>
      <c r="C324" s="10" t="s">
        <v>215</v>
      </c>
      <c r="E324" t="str">
        <f>IFERROR(VLOOKUP(C324,'LEAID Match'!$A$2:$B$214,2,FALSE),"")</f>
        <v/>
      </c>
    </row>
    <row r="325" spans="1:5">
      <c r="A325" t="s">
        <v>379</v>
      </c>
      <c r="B325">
        <v>2019</v>
      </c>
      <c r="C325" s="10" t="s">
        <v>215</v>
      </c>
      <c r="D325" s="15">
        <v>0</v>
      </c>
      <c r="E325" t="str">
        <f>IFERROR(VLOOKUP(C325,'LEAID Match'!$A$2:$B$214,2,FALSE),"")</f>
        <v/>
      </c>
    </row>
    <row r="326" spans="1:5">
      <c r="A326" t="s">
        <v>379</v>
      </c>
      <c r="B326">
        <v>2020</v>
      </c>
      <c r="C326" s="10" t="s">
        <v>215</v>
      </c>
      <c r="D326" s="15">
        <v>0</v>
      </c>
      <c r="E326" t="str">
        <f>IFERROR(VLOOKUP(C326,'LEAID Match'!$A$2:$B$214,2,FALSE),"")</f>
        <v/>
      </c>
    </row>
    <row r="327" spans="1:5">
      <c r="A327" t="s">
        <v>379</v>
      </c>
      <c r="B327">
        <v>2021</v>
      </c>
      <c r="C327" s="10" t="s">
        <v>215</v>
      </c>
      <c r="D327" s="15">
        <v>0</v>
      </c>
      <c r="E327" t="str">
        <f>IFERROR(VLOOKUP(C327,'LEAID Match'!$A$2:$B$214,2,FALSE),"")</f>
        <v/>
      </c>
    </row>
    <row r="328" spans="1:5">
      <c r="A328" t="s">
        <v>379</v>
      </c>
      <c r="B328">
        <v>2017</v>
      </c>
      <c r="C328" s="10" t="s">
        <v>303</v>
      </c>
      <c r="D328" s="15">
        <v>879119</v>
      </c>
      <c r="E328" t="str">
        <f>IFERROR(VLOOKUP(C328,'LEAID Match'!$A$2:$B$214,2,FALSE),"")</f>
        <v/>
      </c>
    </row>
    <row r="329" spans="1:5">
      <c r="A329" t="s">
        <v>379</v>
      </c>
      <c r="B329">
        <v>2018</v>
      </c>
      <c r="C329" s="10" t="s">
        <v>303</v>
      </c>
      <c r="D329" s="15">
        <v>1134343</v>
      </c>
      <c r="E329" t="str">
        <f>IFERROR(VLOOKUP(C329,'LEAID Match'!$A$2:$B$214,2,FALSE),"")</f>
        <v/>
      </c>
    </row>
    <row r="330" spans="1:5">
      <c r="A330" t="s">
        <v>379</v>
      </c>
      <c r="B330">
        <v>2019</v>
      </c>
      <c r="C330" s="10" t="s">
        <v>303</v>
      </c>
      <c r="D330" s="15">
        <v>1167812</v>
      </c>
      <c r="E330" t="str">
        <f>IFERROR(VLOOKUP(C330,'LEAID Match'!$A$2:$B$214,2,FALSE),"")</f>
        <v/>
      </c>
    </row>
    <row r="331" spans="1:5">
      <c r="A331" t="s">
        <v>379</v>
      </c>
      <c r="B331">
        <v>2020</v>
      </c>
      <c r="C331" s="10" t="s">
        <v>303</v>
      </c>
      <c r="D331" s="15">
        <v>1260089</v>
      </c>
      <c r="E331" t="str">
        <f>IFERROR(VLOOKUP(C331,'LEAID Match'!$A$2:$B$214,2,FALSE),"")</f>
        <v/>
      </c>
    </row>
    <row r="332" spans="1:5">
      <c r="A332" t="s">
        <v>379</v>
      </c>
      <c r="B332">
        <v>2021</v>
      </c>
      <c r="C332" s="10" t="s">
        <v>303</v>
      </c>
      <c r="D332" s="15">
        <v>1309770</v>
      </c>
      <c r="E332" t="str">
        <f>IFERROR(VLOOKUP(C332,'LEAID Match'!$A$2:$B$214,2,FALSE),"")</f>
        <v/>
      </c>
    </row>
    <row r="333" spans="1:5">
      <c r="A333" t="s">
        <v>379</v>
      </c>
      <c r="B333">
        <v>2022</v>
      </c>
      <c r="C333" s="10" t="s">
        <v>303</v>
      </c>
      <c r="D333" s="15">
        <v>3221087</v>
      </c>
      <c r="E333" t="str">
        <f>IFERROR(VLOOKUP(C333,'LEAID Match'!$A$2:$B$214,2,FALSE),"")</f>
        <v/>
      </c>
    </row>
    <row r="334" spans="1:5">
      <c r="A334" t="s">
        <v>379</v>
      </c>
      <c r="B334">
        <v>2020</v>
      </c>
      <c r="C334" s="10" t="s">
        <v>341</v>
      </c>
      <c r="D334" s="15">
        <v>2370353</v>
      </c>
      <c r="E334" t="str">
        <f>IFERROR(VLOOKUP(C334,'LEAID Match'!$A$2:$B$214,2,FALSE),"")</f>
        <v/>
      </c>
    </row>
    <row r="335" spans="1:5">
      <c r="A335" t="s">
        <v>379</v>
      </c>
      <c r="B335">
        <v>2021</v>
      </c>
      <c r="C335" s="10" t="s">
        <v>341</v>
      </c>
      <c r="D335" s="15">
        <v>2466497</v>
      </c>
      <c r="E335" t="str">
        <f>IFERROR(VLOOKUP(C335,'LEAID Match'!$A$2:$B$214,2,FALSE),"")</f>
        <v/>
      </c>
    </row>
    <row r="336" spans="1:5">
      <c r="A336" t="s">
        <v>379</v>
      </c>
      <c r="B336">
        <v>2022</v>
      </c>
      <c r="C336" s="10" t="s">
        <v>341</v>
      </c>
      <c r="D336" s="15">
        <v>6142519</v>
      </c>
      <c r="E336" t="str">
        <f>IFERROR(VLOOKUP(C336,'LEAID Match'!$A$2:$B$214,2,FALSE),"")</f>
        <v/>
      </c>
    </row>
    <row r="337" spans="1:5">
      <c r="A337" t="s">
        <v>379</v>
      </c>
      <c r="B337">
        <v>2019</v>
      </c>
      <c r="C337" s="10" t="s">
        <v>323</v>
      </c>
      <c r="D337" s="15">
        <v>1455259</v>
      </c>
      <c r="E337" t="str">
        <f>IFERROR(VLOOKUP(C337,'LEAID Match'!$A$2:$B$214,2,FALSE),"")</f>
        <v/>
      </c>
    </row>
    <row r="338" spans="1:5">
      <c r="A338" t="s">
        <v>379</v>
      </c>
      <c r="B338">
        <v>2020</v>
      </c>
      <c r="C338" s="10" t="s">
        <v>323</v>
      </c>
      <c r="D338" s="15">
        <v>1570175</v>
      </c>
      <c r="E338" t="str">
        <f>IFERROR(VLOOKUP(C338,'LEAID Match'!$A$2:$B$214,2,FALSE),"")</f>
        <v/>
      </c>
    </row>
    <row r="339" spans="1:5">
      <c r="A339" t="s">
        <v>379</v>
      </c>
      <c r="B339">
        <v>2021</v>
      </c>
      <c r="C339" s="10" t="s">
        <v>323</v>
      </c>
      <c r="D339" s="15">
        <v>1726725</v>
      </c>
      <c r="E339" t="str">
        <f>IFERROR(VLOOKUP(C339,'LEAID Match'!$A$2:$B$214,2,FALSE),"")</f>
        <v/>
      </c>
    </row>
    <row r="340" spans="1:5">
      <c r="A340" t="s">
        <v>379</v>
      </c>
      <c r="B340">
        <v>2022</v>
      </c>
      <c r="C340" s="10" t="s">
        <v>323</v>
      </c>
      <c r="D340" s="15">
        <v>4222328</v>
      </c>
      <c r="E340" t="str">
        <f>IFERROR(VLOOKUP(C340,'LEAID Match'!$A$2:$B$214,2,FALSE),"")</f>
        <v/>
      </c>
    </row>
    <row r="341" spans="1:5">
      <c r="A341" t="s">
        <v>379</v>
      </c>
      <c r="B341">
        <v>2015</v>
      </c>
      <c r="C341" s="10" t="s">
        <v>99</v>
      </c>
      <c r="D341" s="15">
        <v>100897.51</v>
      </c>
      <c r="E341" t="str">
        <f>IFERROR(VLOOKUP(C341,'LEAID Match'!$A$2:$B$214,2,FALSE),"")</f>
        <v/>
      </c>
    </row>
    <row r="342" spans="1:5">
      <c r="A342" t="s">
        <v>379</v>
      </c>
      <c r="B342">
        <v>2016</v>
      </c>
      <c r="C342" s="10" t="s">
        <v>99</v>
      </c>
      <c r="D342" s="15">
        <v>105530.06</v>
      </c>
      <c r="E342" t="str">
        <f>IFERROR(VLOOKUP(C342,'LEAID Match'!$A$2:$B$214,2,FALSE),"")</f>
        <v/>
      </c>
    </row>
    <row r="343" spans="1:5">
      <c r="A343" t="s">
        <v>379</v>
      </c>
      <c r="B343">
        <v>2017</v>
      </c>
      <c r="C343" s="10" t="s">
        <v>99</v>
      </c>
      <c r="D343" s="15">
        <v>95403</v>
      </c>
      <c r="E343" t="str">
        <f>IFERROR(VLOOKUP(C343,'LEAID Match'!$A$2:$B$214,2,FALSE),"")</f>
        <v/>
      </c>
    </row>
    <row r="344" spans="1:5">
      <c r="A344" t="s">
        <v>379</v>
      </c>
      <c r="B344">
        <v>2018</v>
      </c>
      <c r="C344" s="10" t="s">
        <v>99</v>
      </c>
      <c r="E344" t="str">
        <f>IFERROR(VLOOKUP(C344,'LEAID Match'!$A$2:$B$214,2,FALSE),"")</f>
        <v/>
      </c>
    </row>
    <row r="345" spans="1:5">
      <c r="A345" t="s">
        <v>379</v>
      </c>
      <c r="B345">
        <v>2019</v>
      </c>
      <c r="C345" s="10" t="s">
        <v>99</v>
      </c>
      <c r="D345" s="15">
        <v>0</v>
      </c>
      <c r="E345" t="str">
        <f>IFERROR(VLOOKUP(C345,'LEAID Match'!$A$2:$B$214,2,FALSE),"")</f>
        <v/>
      </c>
    </row>
    <row r="346" spans="1:5">
      <c r="A346" t="s">
        <v>379</v>
      </c>
      <c r="B346">
        <v>2020</v>
      </c>
      <c r="C346" s="10" t="s">
        <v>99</v>
      </c>
      <c r="D346" s="15">
        <v>0</v>
      </c>
      <c r="E346" t="str">
        <f>IFERROR(VLOOKUP(C346,'LEAID Match'!$A$2:$B$214,2,FALSE),"")</f>
        <v/>
      </c>
    </row>
    <row r="347" spans="1:5">
      <c r="A347" t="s">
        <v>379</v>
      </c>
      <c r="B347">
        <v>2021</v>
      </c>
      <c r="C347" s="10" t="s">
        <v>99</v>
      </c>
      <c r="D347" s="15">
        <v>0</v>
      </c>
      <c r="E347" t="str">
        <f>IFERROR(VLOOKUP(C347,'LEAID Match'!$A$2:$B$214,2,FALSE),"")</f>
        <v/>
      </c>
    </row>
    <row r="348" spans="1:5">
      <c r="A348" t="s">
        <v>379</v>
      </c>
      <c r="B348">
        <v>2015</v>
      </c>
      <c r="C348" s="10" t="s">
        <v>100</v>
      </c>
      <c r="D348" s="15">
        <v>627901.48</v>
      </c>
      <c r="E348" t="str">
        <f>IFERROR(VLOOKUP(C348,'LEAID Match'!$A$2:$B$214,2,FALSE),"")</f>
        <v/>
      </c>
    </row>
    <row r="349" spans="1:5">
      <c r="A349" t="s">
        <v>379</v>
      </c>
      <c r="B349">
        <v>2016</v>
      </c>
      <c r="C349" s="10" t="s">
        <v>100</v>
      </c>
      <c r="D349" s="15">
        <v>527674.65</v>
      </c>
      <c r="E349" t="str">
        <f>IFERROR(VLOOKUP(C349,'LEAID Match'!$A$2:$B$214,2,FALSE),"")</f>
        <v/>
      </c>
    </row>
    <row r="350" spans="1:5">
      <c r="A350" t="s">
        <v>379</v>
      </c>
      <c r="B350">
        <v>2017</v>
      </c>
      <c r="C350" s="10" t="s">
        <v>100</v>
      </c>
      <c r="E350" t="str">
        <f>IFERROR(VLOOKUP(C350,'LEAID Match'!$A$2:$B$214,2,FALSE),"")</f>
        <v/>
      </c>
    </row>
    <row r="351" spans="1:5">
      <c r="A351" t="s">
        <v>379</v>
      </c>
      <c r="B351">
        <v>2018</v>
      </c>
      <c r="C351" s="10" t="s">
        <v>100</v>
      </c>
      <c r="E351" t="str">
        <f>IFERROR(VLOOKUP(C351,'LEAID Match'!$A$2:$B$214,2,FALSE),"")</f>
        <v/>
      </c>
    </row>
    <row r="352" spans="1:5">
      <c r="A352" t="s">
        <v>379</v>
      </c>
      <c r="B352">
        <v>2019</v>
      </c>
      <c r="C352" s="10" t="s">
        <v>100</v>
      </c>
      <c r="D352" s="15">
        <v>0</v>
      </c>
      <c r="E352" t="str">
        <f>IFERROR(VLOOKUP(C352,'LEAID Match'!$A$2:$B$214,2,FALSE),"")</f>
        <v/>
      </c>
    </row>
    <row r="353" spans="1:5">
      <c r="A353" t="s">
        <v>379</v>
      </c>
      <c r="B353">
        <v>2020</v>
      </c>
      <c r="C353" s="10" t="s">
        <v>100</v>
      </c>
      <c r="D353" s="15">
        <v>0</v>
      </c>
      <c r="E353" t="str">
        <f>IFERROR(VLOOKUP(C353,'LEAID Match'!$A$2:$B$214,2,FALSE),"")</f>
        <v/>
      </c>
    </row>
    <row r="354" spans="1:5">
      <c r="A354" t="s">
        <v>379</v>
      </c>
      <c r="B354">
        <v>2020</v>
      </c>
      <c r="C354" s="10" t="s">
        <v>342</v>
      </c>
      <c r="D354" s="15">
        <v>643780</v>
      </c>
      <c r="E354" t="str">
        <f>IFERROR(VLOOKUP(C354,'LEAID Match'!$A$2:$B$214,2,FALSE),"")</f>
        <v/>
      </c>
    </row>
    <row r="355" spans="1:5">
      <c r="A355" t="s">
        <v>379</v>
      </c>
      <c r="B355">
        <v>2021</v>
      </c>
      <c r="C355" s="10" t="s">
        <v>342</v>
      </c>
      <c r="D355" s="15">
        <v>679046</v>
      </c>
      <c r="E355" t="str">
        <f>IFERROR(VLOOKUP(C355,'LEAID Match'!$A$2:$B$214,2,FALSE),"")</f>
        <v/>
      </c>
    </row>
    <row r="356" spans="1:5">
      <c r="A356" t="s">
        <v>379</v>
      </c>
      <c r="B356">
        <v>2022</v>
      </c>
      <c r="C356" s="10" t="s">
        <v>342</v>
      </c>
      <c r="D356" s="15">
        <v>1672988</v>
      </c>
      <c r="E356" t="str">
        <f>IFERROR(VLOOKUP(C356,'LEAID Match'!$A$2:$B$214,2,FALSE),"")</f>
        <v/>
      </c>
    </row>
    <row r="357" spans="1:5">
      <c r="A357" t="s">
        <v>379</v>
      </c>
      <c r="B357">
        <v>2019</v>
      </c>
      <c r="C357" s="10" t="s">
        <v>324</v>
      </c>
      <c r="D357" s="15">
        <v>2022497</v>
      </c>
      <c r="E357" t="str">
        <f>IFERROR(VLOOKUP(C357,'LEAID Match'!$A$2:$B$214,2,FALSE),"")</f>
        <v/>
      </c>
    </row>
    <row r="358" spans="1:5">
      <c r="A358" t="s">
        <v>379</v>
      </c>
      <c r="B358">
        <v>2020</v>
      </c>
      <c r="C358" s="10" t="s">
        <v>324</v>
      </c>
      <c r="D358" s="15">
        <v>2093539</v>
      </c>
      <c r="E358" t="str">
        <f>IFERROR(VLOOKUP(C358,'LEAID Match'!$A$2:$B$214,2,FALSE),"")</f>
        <v/>
      </c>
    </row>
    <row r="359" spans="1:5">
      <c r="A359" t="s">
        <v>379</v>
      </c>
      <c r="B359">
        <v>2021</v>
      </c>
      <c r="C359" s="10" t="s">
        <v>324</v>
      </c>
      <c r="D359" s="15">
        <v>2124533</v>
      </c>
      <c r="E359" t="str">
        <f>IFERROR(VLOOKUP(C359,'LEAID Match'!$A$2:$B$214,2,FALSE),"")</f>
        <v/>
      </c>
    </row>
    <row r="360" spans="1:5">
      <c r="A360" t="s">
        <v>379</v>
      </c>
      <c r="B360">
        <v>2022</v>
      </c>
      <c r="C360" s="10" t="s">
        <v>324</v>
      </c>
      <c r="D360" s="15">
        <v>5084418</v>
      </c>
      <c r="E360" t="str">
        <f>IFERROR(VLOOKUP(C360,'LEAID Match'!$A$2:$B$214,2,FALSE),"")</f>
        <v/>
      </c>
    </row>
    <row r="361" spans="1:5">
      <c r="A361" t="s">
        <v>379</v>
      </c>
      <c r="B361">
        <v>2019</v>
      </c>
      <c r="C361" s="10" t="s">
        <v>325</v>
      </c>
      <c r="D361" s="15">
        <v>2312549</v>
      </c>
      <c r="E361" t="str">
        <f>IFERROR(VLOOKUP(C361,'LEAID Match'!$A$2:$B$214,2,FALSE),"")</f>
        <v/>
      </c>
    </row>
    <row r="362" spans="1:5">
      <c r="A362" t="s">
        <v>379</v>
      </c>
      <c r="B362">
        <v>2016</v>
      </c>
      <c r="C362" s="10" t="s">
        <v>299</v>
      </c>
      <c r="D362" s="15">
        <v>1503913.79</v>
      </c>
      <c r="E362" t="str">
        <f>IFERROR(VLOOKUP(C362,'LEAID Match'!$A$2:$B$214,2,FALSE),"")</f>
        <v/>
      </c>
    </row>
    <row r="363" spans="1:5">
      <c r="A363" t="s">
        <v>379</v>
      </c>
      <c r="B363">
        <v>2017</v>
      </c>
      <c r="C363" s="10" t="s">
        <v>299</v>
      </c>
      <c r="D363" s="15">
        <v>1609761</v>
      </c>
      <c r="E363" t="str">
        <f>IFERROR(VLOOKUP(C363,'LEAID Match'!$A$2:$B$214,2,FALSE),"")</f>
        <v/>
      </c>
    </row>
    <row r="364" spans="1:5">
      <c r="A364" t="s">
        <v>379</v>
      </c>
      <c r="B364">
        <v>2018</v>
      </c>
      <c r="C364" s="10" t="s">
        <v>299</v>
      </c>
      <c r="D364" s="15">
        <v>2271757</v>
      </c>
      <c r="E364" t="str">
        <f>IFERROR(VLOOKUP(C364,'LEAID Match'!$A$2:$B$214,2,FALSE),"")</f>
        <v/>
      </c>
    </row>
    <row r="365" spans="1:5">
      <c r="A365" t="s">
        <v>379</v>
      </c>
      <c r="B365">
        <v>2015</v>
      </c>
      <c r="C365" s="10" t="s">
        <v>108</v>
      </c>
      <c r="E365" t="str">
        <f>IFERROR(VLOOKUP(C365,'LEAID Match'!$A$2:$B$214,2,FALSE),"")</f>
        <v/>
      </c>
    </row>
    <row r="366" spans="1:5">
      <c r="A366" t="s">
        <v>379</v>
      </c>
      <c r="B366">
        <v>2016</v>
      </c>
      <c r="C366" s="10" t="s">
        <v>108</v>
      </c>
      <c r="E366" t="str">
        <f>IFERROR(VLOOKUP(C366,'LEAID Match'!$A$2:$B$214,2,FALSE),"")</f>
        <v/>
      </c>
    </row>
    <row r="367" spans="1:5">
      <c r="A367" t="s">
        <v>379</v>
      </c>
      <c r="B367">
        <v>2017</v>
      </c>
      <c r="C367" s="10" t="s">
        <v>108</v>
      </c>
      <c r="E367" t="str">
        <f>IFERROR(VLOOKUP(C367,'LEAID Match'!$A$2:$B$214,2,FALSE),"")</f>
        <v/>
      </c>
    </row>
    <row r="368" spans="1:5">
      <c r="A368" t="s">
        <v>379</v>
      </c>
      <c r="B368">
        <v>2018</v>
      </c>
      <c r="C368" s="10" t="s">
        <v>108</v>
      </c>
      <c r="E368" t="str">
        <f>IFERROR(VLOOKUP(C368,'LEAID Match'!$A$2:$B$214,2,FALSE),"")</f>
        <v/>
      </c>
    </row>
    <row r="369" spans="1:5">
      <c r="A369" t="s">
        <v>379</v>
      </c>
      <c r="B369">
        <v>2020</v>
      </c>
      <c r="C369" s="10" t="s">
        <v>344</v>
      </c>
      <c r="D369" s="15">
        <v>684152</v>
      </c>
      <c r="E369" t="str">
        <f>IFERROR(VLOOKUP(C369,'LEAID Match'!$A$2:$B$214,2,FALSE),"")</f>
        <v/>
      </c>
    </row>
    <row r="370" spans="1:5">
      <c r="A370" t="s">
        <v>379</v>
      </c>
      <c r="B370">
        <v>2021</v>
      </c>
      <c r="C370" s="10" t="s">
        <v>344</v>
      </c>
      <c r="D370" s="15">
        <v>723129</v>
      </c>
      <c r="E370" t="str">
        <f>IFERROR(VLOOKUP(C370,'LEAID Match'!$A$2:$B$214,2,FALSE),"")</f>
        <v/>
      </c>
    </row>
    <row r="371" spans="1:5">
      <c r="A371" t="s">
        <v>379</v>
      </c>
      <c r="B371">
        <v>2022</v>
      </c>
      <c r="C371" s="10" t="s">
        <v>344</v>
      </c>
      <c r="D371" s="15">
        <v>1779591</v>
      </c>
      <c r="E371" t="str">
        <f>IFERROR(VLOOKUP(C371,'LEAID Match'!$A$2:$B$214,2,FALSE),"")</f>
        <v/>
      </c>
    </row>
    <row r="372" spans="1:5">
      <c r="A372" t="s">
        <v>379</v>
      </c>
      <c r="B372">
        <v>2015</v>
      </c>
      <c r="C372" s="10" t="s">
        <v>242</v>
      </c>
      <c r="D372" s="15">
        <v>212311.93</v>
      </c>
      <c r="E372" t="str">
        <f>IFERROR(VLOOKUP(C372,'LEAID Match'!$A$2:$B$214,2,FALSE),"")</f>
        <v/>
      </c>
    </row>
    <row r="373" spans="1:5">
      <c r="A373" t="s">
        <v>379</v>
      </c>
      <c r="B373">
        <v>2016</v>
      </c>
      <c r="C373" s="10" t="s">
        <v>242</v>
      </c>
      <c r="D373" s="15">
        <v>203591.76</v>
      </c>
      <c r="E373" t="str">
        <f>IFERROR(VLOOKUP(C373,'LEAID Match'!$A$2:$B$214,2,FALSE),"")</f>
        <v/>
      </c>
    </row>
    <row r="374" spans="1:5">
      <c r="A374" t="s">
        <v>379</v>
      </c>
      <c r="B374">
        <v>2017</v>
      </c>
      <c r="C374" s="10" t="s">
        <v>242</v>
      </c>
      <c r="D374" s="15">
        <v>201861</v>
      </c>
      <c r="E374" t="str">
        <f>IFERROR(VLOOKUP(C374,'LEAID Match'!$A$2:$B$214,2,FALSE),"")</f>
        <v/>
      </c>
    </row>
    <row r="375" spans="1:5">
      <c r="A375" t="s">
        <v>379</v>
      </c>
      <c r="B375">
        <v>2018</v>
      </c>
      <c r="C375" s="10" t="s">
        <v>242</v>
      </c>
      <c r="E375" t="str">
        <f>IFERROR(VLOOKUP(C375,'LEAID Match'!$A$2:$B$214,2,FALSE),"")</f>
        <v/>
      </c>
    </row>
    <row r="376" spans="1:5">
      <c r="A376" t="s">
        <v>379</v>
      </c>
      <c r="B376">
        <v>2019</v>
      </c>
      <c r="C376" s="10" t="s">
        <v>242</v>
      </c>
      <c r="D376" s="15">
        <v>0</v>
      </c>
      <c r="E376" t="str">
        <f>IFERROR(VLOOKUP(C376,'LEAID Match'!$A$2:$B$214,2,FALSE),"")</f>
        <v/>
      </c>
    </row>
    <row r="377" spans="1:5">
      <c r="A377" t="s">
        <v>379</v>
      </c>
      <c r="B377">
        <v>2020</v>
      </c>
      <c r="C377" s="10" t="s">
        <v>242</v>
      </c>
      <c r="D377" s="15">
        <v>0</v>
      </c>
      <c r="E377" t="str">
        <f>IFERROR(VLOOKUP(C377,'LEAID Match'!$A$2:$B$214,2,FALSE),"")</f>
        <v/>
      </c>
    </row>
    <row r="378" spans="1:5">
      <c r="A378" t="s">
        <v>379</v>
      </c>
      <c r="B378">
        <v>2021</v>
      </c>
      <c r="C378" s="10" t="s">
        <v>242</v>
      </c>
      <c r="D378" s="15">
        <v>0</v>
      </c>
      <c r="E378" t="str">
        <f>IFERROR(VLOOKUP(C378,'LEAID Match'!$A$2:$B$214,2,FALSE),"")</f>
        <v/>
      </c>
    </row>
    <row r="379" spans="1:5">
      <c r="A379" t="s">
        <v>379</v>
      </c>
      <c r="B379">
        <v>2018</v>
      </c>
      <c r="C379" s="10" t="s">
        <v>313</v>
      </c>
      <c r="D379" s="15">
        <v>1239655</v>
      </c>
      <c r="E379" t="str">
        <f>IFERROR(VLOOKUP(C379,'LEAID Match'!$A$2:$B$214,2,FALSE),"")</f>
        <v/>
      </c>
    </row>
    <row r="380" spans="1:5">
      <c r="A380" t="s">
        <v>379</v>
      </c>
      <c r="B380">
        <v>2019</v>
      </c>
      <c r="C380" s="10" t="s">
        <v>313</v>
      </c>
      <c r="D380" s="15">
        <v>1243504</v>
      </c>
      <c r="E380" t="str">
        <f>IFERROR(VLOOKUP(C380,'LEAID Match'!$A$2:$B$214,2,FALSE),"")</f>
        <v/>
      </c>
    </row>
    <row r="381" spans="1:5">
      <c r="A381" t="s">
        <v>379</v>
      </c>
      <c r="B381">
        <v>2020</v>
      </c>
      <c r="C381" s="10" t="s">
        <v>313</v>
      </c>
      <c r="D381" s="15">
        <v>1405036</v>
      </c>
      <c r="E381" t="str">
        <f>IFERROR(VLOOKUP(C381,'LEAID Match'!$A$2:$B$214,2,FALSE),"")</f>
        <v/>
      </c>
    </row>
    <row r="382" spans="1:5">
      <c r="A382" t="s">
        <v>379</v>
      </c>
      <c r="B382">
        <v>2021</v>
      </c>
      <c r="C382" s="10" t="s">
        <v>313</v>
      </c>
      <c r="D382" s="15">
        <v>1485616</v>
      </c>
      <c r="E382" t="str">
        <f>IFERROR(VLOOKUP(C382,'LEAID Match'!$A$2:$B$214,2,FALSE),"")</f>
        <v/>
      </c>
    </row>
    <row r="383" spans="1:5">
      <c r="A383" t="s">
        <v>379</v>
      </c>
      <c r="B383">
        <v>2022</v>
      </c>
      <c r="C383" s="10" t="s">
        <v>313</v>
      </c>
      <c r="D383" s="15">
        <v>3756383</v>
      </c>
      <c r="E383" t="str">
        <f>IFERROR(VLOOKUP(C383,'LEAID Match'!$A$2:$B$214,2,FALSE),"")</f>
        <v/>
      </c>
    </row>
    <row r="384" spans="1:5">
      <c r="A384" t="s">
        <v>379</v>
      </c>
      <c r="B384">
        <v>2015</v>
      </c>
      <c r="C384" s="10" t="s">
        <v>218</v>
      </c>
      <c r="D384" s="15">
        <v>114555.98</v>
      </c>
      <c r="E384" t="str">
        <f>IFERROR(VLOOKUP(C384,'LEAID Match'!$A$2:$B$214,2,FALSE),"")</f>
        <v/>
      </c>
    </row>
    <row r="385" spans="1:5">
      <c r="A385" t="s">
        <v>379</v>
      </c>
      <c r="B385">
        <v>2016</v>
      </c>
      <c r="C385" s="10" t="s">
        <v>218</v>
      </c>
      <c r="D385" s="15">
        <v>134962.54999999999</v>
      </c>
      <c r="E385" t="str">
        <f>IFERROR(VLOOKUP(C385,'LEAID Match'!$A$2:$B$214,2,FALSE),"")</f>
        <v/>
      </c>
    </row>
    <row r="386" spans="1:5">
      <c r="A386" t="s">
        <v>379</v>
      </c>
      <c r="B386">
        <v>2020</v>
      </c>
      <c r="C386" s="10" t="s">
        <v>345</v>
      </c>
      <c r="D386" s="15">
        <v>334714</v>
      </c>
      <c r="E386" t="str">
        <f>IFERROR(VLOOKUP(C386,'LEAID Match'!$A$2:$B$214,2,FALSE),"")</f>
        <v/>
      </c>
    </row>
    <row r="387" spans="1:5">
      <c r="A387" t="s">
        <v>379</v>
      </c>
      <c r="B387">
        <v>2021</v>
      </c>
      <c r="C387" s="10" t="s">
        <v>345</v>
      </c>
      <c r="D387" s="15">
        <v>332557</v>
      </c>
      <c r="E387" t="str">
        <f>IFERROR(VLOOKUP(C387,'LEAID Match'!$A$2:$B$214,2,FALSE),"")</f>
        <v/>
      </c>
    </row>
    <row r="388" spans="1:5">
      <c r="A388" t="s">
        <v>379</v>
      </c>
      <c r="B388">
        <v>2022</v>
      </c>
      <c r="C388" s="10" t="s">
        <v>345</v>
      </c>
      <c r="D388" s="15">
        <v>841306</v>
      </c>
      <c r="E388" t="str">
        <f>IFERROR(VLOOKUP(C388,'LEAID Match'!$A$2:$B$214,2,FALSE),"")</f>
        <v/>
      </c>
    </row>
    <row r="389" spans="1:5">
      <c r="A389" t="s">
        <v>379</v>
      </c>
      <c r="B389">
        <v>2017</v>
      </c>
      <c r="C389" s="10" t="s">
        <v>304</v>
      </c>
      <c r="D389" s="15">
        <v>872425</v>
      </c>
      <c r="E389" t="str">
        <f>IFERROR(VLOOKUP(C389,'LEAID Match'!$A$2:$B$214,2,FALSE),"")</f>
        <v/>
      </c>
    </row>
    <row r="390" spans="1:5">
      <c r="A390" t="s">
        <v>379</v>
      </c>
      <c r="B390">
        <v>2018</v>
      </c>
      <c r="C390" s="10" t="s">
        <v>304</v>
      </c>
      <c r="D390" s="15">
        <v>1202116</v>
      </c>
      <c r="E390" t="str">
        <f>IFERROR(VLOOKUP(C390,'LEAID Match'!$A$2:$B$214,2,FALSE),"")</f>
        <v/>
      </c>
    </row>
    <row r="391" spans="1:5">
      <c r="A391" t="s">
        <v>379</v>
      </c>
      <c r="B391">
        <v>2019</v>
      </c>
      <c r="C391" s="10" t="s">
        <v>304</v>
      </c>
      <c r="D391" s="15">
        <v>1156304</v>
      </c>
      <c r="E391" t="str">
        <f>IFERROR(VLOOKUP(C391,'LEAID Match'!$A$2:$B$214,2,FALSE),"")</f>
        <v/>
      </c>
    </row>
    <row r="392" spans="1:5">
      <c r="A392" t="s">
        <v>379</v>
      </c>
      <c r="B392">
        <v>2020</v>
      </c>
      <c r="C392" s="10" t="s">
        <v>304</v>
      </c>
      <c r="D392" s="15">
        <v>1218638</v>
      </c>
      <c r="E392" t="str">
        <f>IFERROR(VLOOKUP(C392,'LEAID Match'!$A$2:$B$214,2,FALSE),"")</f>
        <v/>
      </c>
    </row>
    <row r="393" spans="1:5">
      <c r="A393" t="s">
        <v>379</v>
      </c>
      <c r="B393">
        <v>2021</v>
      </c>
      <c r="C393" s="10" t="s">
        <v>304</v>
      </c>
      <c r="D393" s="15">
        <v>1276544</v>
      </c>
      <c r="E393" t="str">
        <f>IFERROR(VLOOKUP(C393,'LEAID Match'!$A$2:$B$214,2,FALSE),"")</f>
        <v/>
      </c>
    </row>
    <row r="394" spans="1:5">
      <c r="A394" t="s">
        <v>379</v>
      </c>
      <c r="B394">
        <v>2022</v>
      </c>
      <c r="C394" s="10" t="s">
        <v>304</v>
      </c>
      <c r="D394" s="15">
        <v>3041136</v>
      </c>
      <c r="E394" t="str">
        <f>IFERROR(VLOOKUP(C394,'LEAID Match'!$A$2:$B$214,2,FALSE),"")</f>
        <v/>
      </c>
    </row>
    <row r="395" spans="1:5">
      <c r="A395" t="s">
        <v>379</v>
      </c>
      <c r="B395">
        <v>2015</v>
      </c>
      <c r="C395" s="10" t="s">
        <v>225</v>
      </c>
      <c r="D395" s="15">
        <v>354434.79</v>
      </c>
      <c r="E395" t="str">
        <f>IFERROR(VLOOKUP(C395,'LEAID Match'!$A$2:$B$214,2,FALSE),"")</f>
        <v/>
      </c>
    </row>
    <row r="396" spans="1:5">
      <c r="A396" t="s">
        <v>379</v>
      </c>
      <c r="B396">
        <v>2016</v>
      </c>
      <c r="C396" s="10" t="s">
        <v>225</v>
      </c>
      <c r="D396" s="15">
        <v>352839.75</v>
      </c>
      <c r="E396" t="str">
        <f>IFERROR(VLOOKUP(C396,'LEAID Match'!$A$2:$B$214,2,FALSE),"")</f>
        <v/>
      </c>
    </row>
    <row r="397" spans="1:5">
      <c r="A397" t="s">
        <v>379</v>
      </c>
      <c r="B397">
        <v>2017</v>
      </c>
      <c r="C397" s="10" t="s">
        <v>225</v>
      </c>
      <c r="E397" t="str">
        <f>IFERROR(VLOOKUP(C397,'LEAID Match'!$A$2:$B$214,2,FALSE),"")</f>
        <v/>
      </c>
    </row>
    <row r="398" spans="1:5">
      <c r="A398" t="s">
        <v>379</v>
      </c>
      <c r="B398">
        <v>2018</v>
      </c>
      <c r="C398" s="10" t="s">
        <v>225</v>
      </c>
      <c r="E398" t="str">
        <f>IFERROR(VLOOKUP(C398,'LEAID Match'!$A$2:$B$214,2,FALSE),"")</f>
        <v/>
      </c>
    </row>
    <row r="399" spans="1:5">
      <c r="A399" t="s">
        <v>379</v>
      </c>
      <c r="B399">
        <v>2019</v>
      </c>
      <c r="C399" s="10" t="s">
        <v>225</v>
      </c>
      <c r="D399" s="15">
        <v>0</v>
      </c>
      <c r="E399" t="str">
        <f>IFERROR(VLOOKUP(C399,'LEAID Match'!$A$2:$B$214,2,FALSE),"")</f>
        <v/>
      </c>
    </row>
    <row r="400" spans="1:5">
      <c r="A400" t="s">
        <v>379</v>
      </c>
      <c r="B400">
        <v>2020</v>
      </c>
      <c r="C400" s="10" t="s">
        <v>225</v>
      </c>
      <c r="D400" s="15">
        <v>0</v>
      </c>
      <c r="E400" t="str">
        <f>IFERROR(VLOOKUP(C400,'LEAID Match'!$A$2:$B$214,2,FALSE),"")</f>
        <v/>
      </c>
    </row>
    <row r="401" spans="1:5">
      <c r="A401" t="s">
        <v>379</v>
      </c>
      <c r="B401">
        <v>2020</v>
      </c>
      <c r="C401" s="10" t="s">
        <v>346</v>
      </c>
      <c r="D401" s="15">
        <v>816999</v>
      </c>
      <c r="E401" t="str">
        <f>IFERROR(VLOOKUP(C401,'LEAID Match'!$A$2:$B$214,2,FALSE),"")</f>
        <v/>
      </c>
    </row>
    <row r="402" spans="1:5">
      <c r="A402" t="s">
        <v>379</v>
      </c>
      <c r="B402">
        <v>2021</v>
      </c>
      <c r="C402" s="10" t="s">
        <v>346</v>
      </c>
      <c r="D402" s="15">
        <v>913926</v>
      </c>
      <c r="E402" t="str">
        <f>IFERROR(VLOOKUP(C402,'LEAID Match'!$A$2:$B$214,2,FALSE),"")</f>
        <v/>
      </c>
    </row>
    <row r="403" spans="1:5">
      <c r="A403" t="s">
        <v>379</v>
      </c>
      <c r="B403">
        <v>2022</v>
      </c>
      <c r="C403" s="10" t="s">
        <v>346</v>
      </c>
      <c r="D403" s="15">
        <v>2302230</v>
      </c>
      <c r="E403" t="str">
        <f>IFERROR(VLOOKUP(C403,'LEAID Match'!$A$2:$B$214,2,FALSE),"")</f>
        <v/>
      </c>
    </row>
    <row r="404" spans="1:5">
      <c r="A404" t="s">
        <v>379</v>
      </c>
      <c r="B404">
        <v>2019</v>
      </c>
      <c r="C404" s="10" t="s">
        <v>326</v>
      </c>
      <c r="D404" s="15">
        <v>911692</v>
      </c>
      <c r="E404" t="str">
        <f>IFERROR(VLOOKUP(C404,'LEAID Match'!$A$2:$B$214,2,FALSE),"")</f>
        <v/>
      </c>
    </row>
    <row r="405" spans="1:5">
      <c r="A405" t="s">
        <v>379</v>
      </c>
      <c r="B405">
        <v>2020</v>
      </c>
      <c r="C405" s="10" t="s">
        <v>326</v>
      </c>
      <c r="D405" s="15">
        <v>978136</v>
      </c>
      <c r="E405" t="str">
        <f>IFERROR(VLOOKUP(C405,'LEAID Match'!$A$2:$B$214,2,FALSE),"")</f>
        <v/>
      </c>
    </row>
    <row r="406" spans="1:5">
      <c r="A406" t="s">
        <v>379</v>
      </c>
      <c r="B406">
        <v>2021</v>
      </c>
      <c r="C406" s="10" t="s">
        <v>326</v>
      </c>
      <c r="D406" s="15">
        <v>1014614</v>
      </c>
      <c r="E406" t="str">
        <f>IFERROR(VLOOKUP(C406,'LEAID Match'!$A$2:$B$214,2,FALSE),"")</f>
        <v/>
      </c>
    </row>
    <row r="407" spans="1:5">
      <c r="A407" t="s">
        <v>379</v>
      </c>
      <c r="B407">
        <v>2022</v>
      </c>
      <c r="C407" s="10" t="s">
        <v>326</v>
      </c>
      <c r="D407" s="15">
        <v>2459763</v>
      </c>
      <c r="E407" t="str">
        <f>IFERROR(VLOOKUP(C407,'LEAID Match'!$A$2:$B$214,2,FALSE),"")</f>
        <v/>
      </c>
    </row>
    <row r="408" spans="1:5">
      <c r="A408" t="s">
        <v>379</v>
      </c>
      <c r="B408">
        <v>2015</v>
      </c>
      <c r="C408" s="10" t="s">
        <v>117</v>
      </c>
      <c r="D408" s="15">
        <v>139488.53</v>
      </c>
      <c r="E408" t="str">
        <f>IFERROR(VLOOKUP(C408,'LEAID Match'!$A$2:$B$214,2,FALSE),"")</f>
        <v/>
      </c>
    </row>
    <row r="409" spans="1:5">
      <c r="A409" t="s">
        <v>379</v>
      </c>
      <c r="B409">
        <v>2016</v>
      </c>
      <c r="C409" s="10" t="s">
        <v>117</v>
      </c>
      <c r="D409" s="15">
        <v>163984.63</v>
      </c>
      <c r="E409" t="str">
        <f>IFERROR(VLOOKUP(C409,'LEAID Match'!$A$2:$B$214,2,FALSE),"")</f>
        <v/>
      </c>
    </row>
    <row r="410" spans="1:5">
      <c r="A410" t="s">
        <v>379</v>
      </c>
      <c r="B410">
        <v>2017</v>
      </c>
      <c r="C410" s="10" t="s">
        <v>117</v>
      </c>
      <c r="E410" t="str">
        <f>IFERROR(VLOOKUP(C410,'LEAID Match'!$A$2:$B$214,2,FALSE),"")</f>
        <v/>
      </c>
    </row>
    <row r="411" spans="1:5">
      <c r="A411" t="s">
        <v>379</v>
      </c>
      <c r="B411">
        <v>2018</v>
      </c>
      <c r="C411" s="10" t="s">
        <v>117</v>
      </c>
      <c r="E411" t="str">
        <f>IFERROR(VLOOKUP(C411,'LEAID Match'!$A$2:$B$214,2,FALSE),"")</f>
        <v/>
      </c>
    </row>
    <row r="412" spans="1:5">
      <c r="A412" t="s">
        <v>379</v>
      </c>
      <c r="B412">
        <v>2019</v>
      </c>
      <c r="C412" s="10" t="s">
        <v>117</v>
      </c>
      <c r="D412" s="15">
        <v>0</v>
      </c>
      <c r="E412" t="str">
        <f>IFERROR(VLOOKUP(C412,'LEAID Match'!$A$2:$B$214,2,FALSE),"")</f>
        <v/>
      </c>
    </row>
    <row r="413" spans="1:5">
      <c r="A413" t="s">
        <v>379</v>
      </c>
      <c r="B413">
        <v>2020</v>
      </c>
      <c r="C413" s="10" t="s">
        <v>117</v>
      </c>
      <c r="D413" s="15">
        <v>0</v>
      </c>
      <c r="E413" t="str">
        <f>IFERROR(VLOOKUP(C413,'LEAID Match'!$A$2:$B$214,2,FALSE),"")</f>
        <v/>
      </c>
    </row>
    <row r="414" spans="1:5">
      <c r="A414" t="s">
        <v>379</v>
      </c>
      <c r="B414">
        <v>2015</v>
      </c>
      <c r="C414" s="10" t="s">
        <v>118</v>
      </c>
      <c r="D414" s="15">
        <v>6081.53</v>
      </c>
      <c r="E414" t="str">
        <f>IFERROR(VLOOKUP(C414,'LEAID Match'!$A$2:$B$214,2,FALSE),"")</f>
        <v/>
      </c>
    </row>
    <row r="415" spans="1:5">
      <c r="A415" t="s">
        <v>379</v>
      </c>
      <c r="B415">
        <v>2016</v>
      </c>
      <c r="C415" s="10" t="s">
        <v>118</v>
      </c>
      <c r="E415" t="str">
        <f>IFERROR(VLOOKUP(C415,'LEAID Match'!$A$2:$B$214,2,FALSE),"")</f>
        <v/>
      </c>
    </row>
    <row r="416" spans="1:5">
      <c r="A416" t="s">
        <v>379</v>
      </c>
      <c r="B416">
        <v>2017</v>
      </c>
      <c r="C416" s="10" t="s">
        <v>118</v>
      </c>
      <c r="E416" t="str">
        <f>IFERROR(VLOOKUP(C416,'LEAID Match'!$A$2:$B$214,2,FALSE),"")</f>
        <v/>
      </c>
    </row>
    <row r="417" spans="1:5">
      <c r="A417" t="s">
        <v>379</v>
      </c>
      <c r="B417">
        <v>2018</v>
      </c>
      <c r="C417" s="10" t="s">
        <v>118</v>
      </c>
      <c r="E417" t="str">
        <f>IFERROR(VLOOKUP(C417,'LEAID Match'!$A$2:$B$214,2,FALSE),"")</f>
        <v/>
      </c>
    </row>
    <row r="418" spans="1:5">
      <c r="A418" t="s">
        <v>379</v>
      </c>
      <c r="B418">
        <v>2019</v>
      </c>
      <c r="C418" s="10" t="s">
        <v>118</v>
      </c>
      <c r="D418" s="15">
        <v>0</v>
      </c>
      <c r="E418" t="str">
        <f>IFERROR(VLOOKUP(C418,'LEAID Match'!$A$2:$B$214,2,FALSE),"")</f>
        <v/>
      </c>
    </row>
    <row r="419" spans="1:5">
      <c r="A419" t="s">
        <v>379</v>
      </c>
      <c r="B419">
        <v>2016</v>
      </c>
      <c r="C419" s="10" t="s">
        <v>298</v>
      </c>
      <c r="D419" s="15">
        <v>60087.47</v>
      </c>
      <c r="E419" t="str">
        <f>IFERROR(VLOOKUP(C419,'LEAID Match'!$A$2:$B$214,2,FALSE),"")</f>
        <v/>
      </c>
    </row>
    <row r="420" spans="1:5">
      <c r="A420" t="s">
        <v>379</v>
      </c>
      <c r="B420">
        <v>2017</v>
      </c>
      <c r="C420" s="10" t="s">
        <v>298</v>
      </c>
      <c r="D420" s="15">
        <v>72954</v>
      </c>
      <c r="E420" t="str">
        <f>IFERROR(VLOOKUP(C420,'LEAID Match'!$A$2:$B$214,2,FALSE),"")</f>
        <v/>
      </c>
    </row>
    <row r="421" spans="1:5">
      <c r="A421" t="s">
        <v>379</v>
      </c>
      <c r="B421">
        <v>2018</v>
      </c>
      <c r="C421" s="10" t="s">
        <v>298</v>
      </c>
      <c r="D421" s="15">
        <v>96720</v>
      </c>
      <c r="E421" t="str">
        <f>IFERROR(VLOOKUP(C421,'LEAID Match'!$A$2:$B$214,2,FALSE),"")</f>
        <v/>
      </c>
    </row>
    <row r="422" spans="1:5">
      <c r="A422" t="s">
        <v>379</v>
      </c>
      <c r="B422">
        <v>2019</v>
      </c>
      <c r="C422" s="10" t="s">
        <v>298</v>
      </c>
      <c r="D422" s="15">
        <v>0</v>
      </c>
      <c r="E422" t="str">
        <f>IFERROR(VLOOKUP(C422,'LEAID Match'!$A$2:$B$214,2,FALSE),"")</f>
        <v/>
      </c>
    </row>
    <row r="423" spans="1:5">
      <c r="A423" t="s">
        <v>379</v>
      </c>
      <c r="B423">
        <v>2020</v>
      </c>
      <c r="C423" s="10" t="s">
        <v>298</v>
      </c>
      <c r="D423" s="15">
        <v>0</v>
      </c>
      <c r="E423" t="str">
        <f>IFERROR(VLOOKUP(C423,'LEAID Match'!$A$2:$B$214,2,FALSE),"")</f>
        <v/>
      </c>
    </row>
    <row r="424" spans="1:5">
      <c r="A424" t="s">
        <v>379</v>
      </c>
      <c r="B424">
        <v>2021</v>
      </c>
      <c r="C424" s="10" t="s">
        <v>298</v>
      </c>
      <c r="D424" s="15">
        <v>0</v>
      </c>
      <c r="E424" t="str">
        <f>IFERROR(VLOOKUP(C424,'LEAID Match'!$A$2:$B$214,2,FALSE),"")</f>
        <v/>
      </c>
    </row>
    <row r="425" spans="1:5">
      <c r="A425" t="s">
        <v>379</v>
      </c>
      <c r="B425">
        <v>2022</v>
      </c>
      <c r="C425" s="10" t="s">
        <v>298</v>
      </c>
      <c r="D425" s="15">
        <v>0</v>
      </c>
      <c r="E425" t="str">
        <f>IFERROR(VLOOKUP(C425,'LEAID Match'!$A$2:$B$214,2,FALSE),"")</f>
        <v/>
      </c>
    </row>
    <row r="426" spans="1:5">
      <c r="A426" t="s">
        <v>379</v>
      </c>
      <c r="B426">
        <v>2019</v>
      </c>
      <c r="C426" s="10" t="s">
        <v>327</v>
      </c>
      <c r="D426" s="15">
        <v>1085796</v>
      </c>
      <c r="E426" t="str">
        <f>IFERROR(VLOOKUP(C426,'LEAID Match'!$A$2:$B$214,2,FALSE),"")</f>
        <v/>
      </c>
    </row>
    <row r="427" spans="1:5">
      <c r="A427" t="s">
        <v>379</v>
      </c>
      <c r="B427">
        <v>2020</v>
      </c>
      <c r="C427" s="10" t="s">
        <v>327</v>
      </c>
      <c r="D427" s="15">
        <v>1243799</v>
      </c>
      <c r="E427" t="str">
        <f>IFERROR(VLOOKUP(C427,'LEAID Match'!$A$2:$B$214,2,FALSE),"")</f>
        <v/>
      </c>
    </row>
    <row r="428" spans="1:5">
      <c r="A428" t="s">
        <v>379</v>
      </c>
      <c r="B428">
        <v>2021</v>
      </c>
      <c r="C428" s="10" t="s">
        <v>327</v>
      </c>
      <c r="D428" s="15">
        <v>1197979</v>
      </c>
      <c r="E428" t="str">
        <f>IFERROR(VLOOKUP(C428,'LEAID Match'!$A$2:$B$214,2,FALSE),"")</f>
        <v/>
      </c>
    </row>
    <row r="429" spans="1:5">
      <c r="A429" t="s">
        <v>379</v>
      </c>
      <c r="B429">
        <v>2022</v>
      </c>
      <c r="C429" s="10" t="s">
        <v>327</v>
      </c>
      <c r="D429" s="15">
        <v>2984134</v>
      </c>
      <c r="E429" t="str">
        <f>IFERROR(VLOOKUP(C429,'LEAID Match'!$A$2:$B$214,2,FALSE),"")</f>
        <v/>
      </c>
    </row>
    <row r="430" spans="1:5">
      <c r="A430" t="s">
        <v>379</v>
      </c>
      <c r="B430">
        <v>2015</v>
      </c>
      <c r="C430" s="10" t="s">
        <v>123</v>
      </c>
      <c r="D430" s="15">
        <v>181951.49</v>
      </c>
      <c r="E430" t="str">
        <f>IFERROR(VLOOKUP(C430,'LEAID Match'!$A$2:$B$214,2,FALSE),"")</f>
        <v/>
      </c>
    </row>
    <row r="431" spans="1:5">
      <c r="A431" t="s">
        <v>379</v>
      </c>
      <c r="B431">
        <v>2016</v>
      </c>
      <c r="C431" s="10" t="s">
        <v>123</v>
      </c>
      <c r="D431" s="15">
        <v>164334.48000000001</v>
      </c>
      <c r="E431" t="str">
        <f>IFERROR(VLOOKUP(C431,'LEAID Match'!$A$2:$B$214,2,FALSE),"")</f>
        <v/>
      </c>
    </row>
    <row r="432" spans="1:5">
      <c r="A432" t="s">
        <v>379</v>
      </c>
      <c r="B432">
        <v>2017</v>
      </c>
      <c r="C432" s="10" t="s">
        <v>123</v>
      </c>
      <c r="D432" s="15">
        <v>171071</v>
      </c>
      <c r="E432" t="str">
        <f>IFERROR(VLOOKUP(C432,'LEAID Match'!$A$2:$B$214,2,FALSE),"")</f>
        <v/>
      </c>
    </row>
    <row r="433" spans="1:5">
      <c r="A433" t="s">
        <v>379</v>
      </c>
      <c r="B433">
        <v>2018</v>
      </c>
      <c r="C433" s="10" t="s">
        <v>123</v>
      </c>
      <c r="E433" t="str">
        <f>IFERROR(VLOOKUP(C433,'LEAID Match'!$A$2:$B$214,2,FALSE),"")</f>
        <v/>
      </c>
    </row>
    <row r="434" spans="1:5">
      <c r="A434" t="s">
        <v>379</v>
      </c>
      <c r="B434">
        <v>2019</v>
      </c>
      <c r="C434" s="10" t="s">
        <v>123</v>
      </c>
      <c r="D434" s="15">
        <v>0</v>
      </c>
      <c r="E434" t="str">
        <f>IFERROR(VLOOKUP(C434,'LEAID Match'!$A$2:$B$214,2,FALSE),"")</f>
        <v/>
      </c>
    </row>
    <row r="435" spans="1:5">
      <c r="A435" t="s">
        <v>379</v>
      </c>
      <c r="B435">
        <v>2020</v>
      </c>
      <c r="C435" s="10" t="s">
        <v>123</v>
      </c>
      <c r="D435" s="15">
        <v>0</v>
      </c>
      <c r="E435" t="str">
        <f>IFERROR(VLOOKUP(C435,'LEAID Match'!$A$2:$B$214,2,FALSE),"")</f>
        <v/>
      </c>
    </row>
    <row r="436" spans="1:5">
      <c r="A436" t="s">
        <v>379</v>
      </c>
      <c r="B436">
        <v>2021</v>
      </c>
      <c r="C436" s="10" t="s">
        <v>123</v>
      </c>
      <c r="D436" s="15">
        <v>0</v>
      </c>
      <c r="E436" t="str">
        <f>IFERROR(VLOOKUP(C436,'LEAID Match'!$A$2:$B$214,2,FALSE),"")</f>
        <v/>
      </c>
    </row>
    <row r="437" spans="1:5">
      <c r="A437" t="s">
        <v>379</v>
      </c>
      <c r="B437">
        <v>2015</v>
      </c>
      <c r="C437" s="10" t="s">
        <v>127</v>
      </c>
      <c r="D437" s="15">
        <v>22077.56</v>
      </c>
      <c r="E437" t="str">
        <f>IFERROR(VLOOKUP(C437,'LEAID Match'!$A$2:$B$214,2,FALSE),"")</f>
        <v/>
      </c>
    </row>
    <row r="438" spans="1:5">
      <c r="A438" t="s">
        <v>379</v>
      </c>
      <c r="B438">
        <v>2016</v>
      </c>
      <c r="C438" s="10" t="s">
        <v>127</v>
      </c>
      <c r="E438" t="str">
        <f>IFERROR(VLOOKUP(C438,'LEAID Match'!$A$2:$B$214,2,FALSE),"")</f>
        <v/>
      </c>
    </row>
    <row r="439" spans="1:5">
      <c r="A439" t="s">
        <v>379</v>
      </c>
      <c r="B439">
        <v>2017</v>
      </c>
      <c r="C439" s="10" t="s">
        <v>127</v>
      </c>
      <c r="E439" t="str">
        <f>IFERROR(VLOOKUP(C439,'LEAID Match'!$A$2:$B$214,2,FALSE),"")</f>
        <v/>
      </c>
    </row>
    <row r="440" spans="1:5">
      <c r="A440" t="s">
        <v>379</v>
      </c>
      <c r="B440">
        <v>2018</v>
      </c>
      <c r="C440" s="10" t="s">
        <v>127</v>
      </c>
      <c r="E440" t="str">
        <f>IFERROR(VLOOKUP(C440,'LEAID Match'!$A$2:$B$214,2,FALSE),"")</f>
        <v/>
      </c>
    </row>
    <row r="441" spans="1:5">
      <c r="A441" t="s">
        <v>379</v>
      </c>
      <c r="B441">
        <v>2019</v>
      </c>
      <c r="C441" s="10" t="s">
        <v>127</v>
      </c>
      <c r="D441" s="15">
        <v>0</v>
      </c>
      <c r="E441" t="str">
        <f>IFERROR(VLOOKUP(C441,'LEAID Match'!$A$2:$B$214,2,FALSE),"")</f>
        <v/>
      </c>
    </row>
    <row r="442" spans="1:5">
      <c r="A442" t="s">
        <v>379</v>
      </c>
      <c r="B442">
        <v>2015</v>
      </c>
      <c r="C442" s="10" t="s">
        <v>128</v>
      </c>
      <c r="D442" s="15">
        <v>37910.839999999997</v>
      </c>
      <c r="E442" t="str">
        <f>IFERROR(VLOOKUP(C442,'LEAID Match'!$A$2:$B$214,2,FALSE),"")</f>
        <v/>
      </c>
    </row>
    <row r="443" spans="1:5">
      <c r="A443" t="s">
        <v>379</v>
      </c>
      <c r="B443">
        <v>2016</v>
      </c>
      <c r="C443" s="10" t="s">
        <v>128</v>
      </c>
      <c r="D443" s="15">
        <v>34963.339999999997</v>
      </c>
      <c r="E443" t="str">
        <f>IFERROR(VLOOKUP(C443,'LEAID Match'!$A$2:$B$214,2,FALSE),"")</f>
        <v/>
      </c>
    </row>
    <row r="444" spans="1:5">
      <c r="A444" t="s">
        <v>379</v>
      </c>
      <c r="B444">
        <v>2017</v>
      </c>
      <c r="C444" s="10" t="s">
        <v>128</v>
      </c>
      <c r="D444" s="15">
        <v>39630</v>
      </c>
      <c r="E444" t="str">
        <f>IFERROR(VLOOKUP(C444,'LEAID Match'!$A$2:$B$214,2,FALSE),"")</f>
        <v/>
      </c>
    </row>
    <row r="445" spans="1:5">
      <c r="A445" t="s">
        <v>379</v>
      </c>
      <c r="B445">
        <v>2018</v>
      </c>
      <c r="C445" s="10" t="s">
        <v>128</v>
      </c>
      <c r="E445" t="str">
        <f>IFERROR(VLOOKUP(C445,'LEAID Match'!$A$2:$B$214,2,FALSE),"")</f>
        <v/>
      </c>
    </row>
    <row r="446" spans="1:5">
      <c r="A446" t="s">
        <v>379</v>
      </c>
      <c r="B446">
        <v>2019</v>
      </c>
      <c r="C446" s="10" t="s">
        <v>128</v>
      </c>
      <c r="D446" s="15">
        <v>0</v>
      </c>
      <c r="E446" t="str">
        <f>IFERROR(VLOOKUP(C446,'LEAID Match'!$A$2:$B$214,2,FALSE),"")</f>
        <v/>
      </c>
    </row>
    <row r="447" spans="1:5">
      <c r="A447" t="s">
        <v>379</v>
      </c>
      <c r="B447">
        <v>2020</v>
      </c>
      <c r="C447" s="10" t="s">
        <v>128</v>
      </c>
      <c r="D447" s="15">
        <v>0</v>
      </c>
      <c r="E447" t="str">
        <f>IFERROR(VLOOKUP(C447,'LEAID Match'!$A$2:$B$214,2,FALSE),"")</f>
        <v/>
      </c>
    </row>
    <row r="448" spans="1:5">
      <c r="A448" t="s">
        <v>379</v>
      </c>
      <c r="B448">
        <v>2021</v>
      </c>
      <c r="C448" s="10" t="s">
        <v>128</v>
      </c>
      <c r="D448" s="15">
        <v>0</v>
      </c>
      <c r="E448" t="str">
        <f>IFERROR(VLOOKUP(C448,'LEAID Match'!$A$2:$B$214,2,FALSE),"")</f>
        <v/>
      </c>
    </row>
    <row r="449" spans="1:5">
      <c r="A449" t="s">
        <v>379</v>
      </c>
      <c r="B449">
        <v>2020</v>
      </c>
      <c r="C449" s="10" t="s">
        <v>347</v>
      </c>
      <c r="D449" s="15">
        <v>181603</v>
      </c>
      <c r="E449" t="str">
        <f>IFERROR(VLOOKUP(C449,'LEAID Match'!$A$2:$B$214,2,FALSE),"")</f>
        <v/>
      </c>
    </row>
    <row r="450" spans="1:5">
      <c r="A450" t="s">
        <v>379</v>
      </c>
      <c r="B450">
        <v>2021</v>
      </c>
      <c r="C450" s="10" t="s">
        <v>347</v>
      </c>
      <c r="D450" s="15">
        <v>190581</v>
      </c>
      <c r="E450" t="str">
        <f>IFERROR(VLOOKUP(C450,'LEAID Match'!$A$2:$B$214,2,FALSE),"")</f>
        <v/>
      </c>
    </row>
    <row r="451" spans="1:5">
      <c r="A451" t="s">
        <v>379</v>
      </c>
      <c r="B451">
        <v>2022</v>
      </c>
      <c r="C451" s="10" t="s">
        <v>347</v>
      </c>
      <c r="D451" s="15">
        <v>499610</v>
      </c>
      <c r="E451" t="str">
        <f>IFERROR(VLOOKUP(C451,'LEAID Match'!$A$2:$B$214,2,FALSE),"")</f>
        <v/>
      </c>
    </row>
    <row r="452" spans="1:5">
      <c r="A452" t="s">
        <v>379</v>
      </c>
      <c r="B452">
        <v>2019</v>
      </c>
      <c r="C452" s="10" t="s">
        <v>328</v>
      </c>
      <c r="D452" s="15">
        <v>159102</v>
      </c>
      <c r="E452" t="str">
        <f>IFERROR(VLOOKUP(C452,'LEAID Match'!$A$2:$B$214,2,FALSE),"")</f>
        <v/>
      </c>
    </row>
    <row r="453" spans="1:5">
      <c r="A453" t="s">
        <v>379</v>
      </c>
      <c r="B453">
        <v>2020</v>
      </c>
      <c r="C453" s="10" t="s">
        <v>328</v>
      </c>
      <c r="D453" s="15">
        <v>166131</v>
      </c>
      <c r="E453" t="str">
        <f>IFERROR(VLOOKUP(C453,'LEAID Match'!$A$2:$B$214,2,FALSE),"")</f>
        <v/>
      </c>
    </row>
    <row r="454" spans="1:5">
      <c r="A454" t="s">
        <v>379</v>
      </c>
      <c r="B454">
        <v>2021</v>
      </c>
      <c r="C454" s="10" t="s">
        <v>328</v>
      </c>
      <c r="D454" s="15">
        <v>184417</v>
      </c>
      <c r="E454" t="str">
        <f>IFERROR(VLOOKUP(C454,'LEAID Match'!$A$2:$B$214,2,FALSE),"")</f>
        <v/>
      </c>
    </row>
    <row r="455" spans="1:5">
      <c r="A455" t="s">
        <v>379</v>
      </c>
      <c r="B455">
        <v>2022</v>
      </c>
      <c r="C455" s="10" t="s">
        <v>328</v>
      </c>
      <c r="D455" s="15">
        <v>393093</v>
      </c>
      <c r="E455" t="str">
        <f>IFERROR(VLOOKUP(C455,'LEAID Match'!$A$2:$B$214,2,FALSE),"")</f>
        <v/>
      </c>
    </row>
    <row r="456" spans="1:5">
      <c r="A456" t="s">
        <v>379</v>
      </c>
      <c r="B456">
        <v>2015</v>
      </c>
      <c r="C456" s="10" t="s">
        <v>283</v>
      </c>
      <c r="D456" s="15">
        <v>169322.52</v>
      </c>
      <c r="E456" t="str">
        <f>IFERROR(VLOOKUP(C456,'LEAID Match'!$A$2:$B$214,2,FALSE),"")</f>
        <v/>
      </c>
    </row>
    <row r="457" spans="1:5">
      <c r="A457" t="s">
        <v>379</v>
      </c>
      <c r="B457">
        <v>2016</v>
      </c>
      <c r="C457" s="10" t="s">
        <v>283</v>
      </c>
      <c r="D457" s="15">
        <v>172333.6</v>
      </c>
      <c r="E457" t="str">
        <f>IFERROR(VLOOKUP(C457,'LEAID Match'!$A$2:$B$214,2,FALSE),"")</f>
        <v/>
      </c>
    </row>
    <row r="458" spans="1:5">
      <c r="A458" t="s">
        <v>379</v>
      </c>
      <c r="B458">
        <v>2017</v>
      </c>
      <c r="C458" s="10" t="s">
        <v>283</v>
      </c>
      <c r="E458" t="str">
        <f>IFERROR(VLOOKUP(C458,'LEAID Match'!$A$2:$B$214,2,FALSE),"")</f>
        <v/>
      </c>
    </row>
    <row r="459" spans="1:5">
      <c r="A459" t="s">
        <v>379</v>
      </c>
      <c r="B459">
        <v>2018</v>
      </c>
      <c r="C459" s="10" t="s">
        <v>283</v>
      </c>
      <c r="E459" t="str">
        <f>IFERROR(VLOOKUP(C459,'LEAID Match'!$A$2:$B$214,2,FALSE),"")</f>
        <v/>
      </c>
    </row>
    <row r="460" spans="1:5">
      <c r="A460" t="s">
        <v>379</v>
      </c>
      <c r="B460">
        <v>2019</v>
      </c>
      <c r="C460" s="10" t="s">
        <v>283</v>
      </c>
      <c r="D460" s="15">
        <v>0</v>
      </c>
      <c r="E460" t="str">
        <f>IFERROR(VLOOKUP(C460,'LEAID Match'!$A$2:$B$214,2,FALSE),"")</f>
        <v/>
      </c>
    </row>
    <row r="461" spans="1:5">
      <c r="A461" t="s">
        <v>379</v>
      </c>
      <c r="B461">
        <v>2020</v>
      </c>
      <c r="C461" s="10" t="s">
        <v>283</v>
      </c>
      <c r="D461" s="15">
        <v>0</v>
      </c>
      <c r="E461" t="str">
        <f>IFERROR(VLOOKUP(C461,'LEAID Match'!$A$2:$B$214,2,FALSE),"")</f>
        <v/>
      </c>
    </row>
    <row r="462" spans="1:5">
      <c r="A462" t="s">
        <v>379</v>
      </c>
      <c r="B462">
        <v>2015</v>
      </c>
      <c r="C462" s="10" t="s">
        <v>250</v>
      </c>
      <c r="E462" t="str">
        <f>IFERROR(VLOOKUP(C462,'LEAID Match'!$A$2:$B$214,2,FALSE),"")</f>
        <v/>
      </c>
    </row>
    <row r="463" spans="1:5">
      <c r="A463" t="s">
        <v>379</v>
      </c>
      <c r="B463">
        <v>2016</v>
      </c>
      <c r="C463" s="10" t="s">
        <v>250</v>
      </c>
      <c r="E463" t="str">
        <f>IFERROR(VLOOKUP(C463,'LEAID Match'!$A$2:$B$214,2,FALSE),"")</f>
        <v/>
      </c>
    </row>
    <row r="464" spans="1:5">
      <c r="A464" t="s">
        <v>379</v>
      </c>
      <c r="B464">
        <v>2017</v>
      </c>
      <c r="C464" s="10" t="s">
        <v>250</v>
      </c>
      <c r="E464" t="str">
        <f>IFERROR(VLOOKUP(C464,'LEAID Match'!$A$2:$B$214,2,FALSE),"")</f>
        <v/>
      </c>
    </row>
    <row r="465" spans="1:5">
      <c r="A465" t="s">
        <v>379</v>
      </c>
      <c r="B465">
        <v>2018</v>
      </c>
      <c r="C465" s="10" t="s">
        <v>250</v>
      </c>
      <c r="E465" t="str">
        <f>IFERROR(VLOOKUP(C465,'LEAID Match'!$A$2:$B$214,2,FALSE),"")</f>
        <v/>
      </c>
    </row>
    <row r="466" spans="1:5">
      <c r="A466" t="s">
        <v>379</v>
      </c>
      <c r="B466">
        <v>2015</v>
      </c>
      <c r="C466" s="10" t="s">
        <v>138</v>
      </c>
      <c r="D466" s="15">
        <v>91893.53</v>
      </c>
      <c r="E466" t="str">
        <f>IFERROR(VLOOKUP(C466,'LEAID Match'!$A$2:$B$214,2,FALSE),"")</f>
        <v/>
      </c>
    </row>
    <row r="467" spans="1:5">
      <c r="A467" t="s">
        <v>379</v>
      </c>
      <c r="B467">
        <v>2016</v>
      </c>
      <c r="C467" s="10" t="s">
        <v>138</v>
      </c>
      <c r="D467" s="15">
        <v>81432.81</v>
      </c>
      <c r="E467" t="str">
        <f>IFERROR(VLOOKUP(C467,'LEAID Match'!$A$2:$B$214,2,FALSE),"")</f>
        <v/>
      </c>
    </row>
    <row r="468" spans="1:5">
      <c r="A468" t="s">
        <v>379</v>
      </c>
      <c r="B468">
        <v>2017</v>
      </c>
      <c r="C468" s="10" t="s">
        <v>138</v>
      </c>
      <c r="D468" s="15">
        <v>90897</v>
      </c>
      <c r="E468" t="str">
        <f>IFERROR(VLOOKUP(C468,'LEAID Match'!$A$2:$B$214,2,FALSE),"")</f>
        <v/>
      </c>
    </row>
    <row r="469" spans="1:5">
      <c r="A469" t="s">
        <v>379</v>
      </c>
      <c r="B469">
        <v>2018</v>
      </c>
      <c r="C469" s="10" t="s">
        <v>138</v>
      </c>
      <c r="E469" t="str">
        <f>IFERROR(VLOOKUP(C469,'LEAID Match'!$A$2:$B$214,2,FALSE),"")</f>
        <v/>
      </c>
    </row>
    <row r="470" spans="1:5">
      <c r="A470" t="s">
        <v>379</v>
      </c>
      <c r="B470">
        <v>2019</v>
      </c>
      <c r="C470" s="10" t="s">
        <v>138</v>
      </c>
      <c r="D470" s="15">
        <v>0</v>
      </c>
      <c r="E470" t="str">
        <f>IFERROR(VLOOKUP(C470,'LEAID Match'!$A$2:$B$214,2,FALSE),"")</f>
        <v/>
      </c>
    </row>
    <row r="471" spans="1:5">
      <c r="A471" t="s">
        <v>379</v>
      </c>
      <c r="B471">
        <v>2020</v>
      </c>
      <c r="C471" s="10" t="s">
        <v>138</v>
      </c>
      <c r="D471" s="15">
        <v>0</v>
      </c>
      <c r="E471" t="str">
        <f>IFERROR(VLOOKUP(C471,'LEAID Match'!$A$2:$B$214,2,FALSE),"")</f>
        <v/>
      </c>
    </row>
    <row r="472" spans="1:5">
      <c r="A472" t="s">
        <v>379</v>
      </c>
      <c r="B472">
        <v>2021</v>
      </c>
      <c r="C472" s="10" t="s">
        <v>138</v>
      </c>
      <c r="D472" s="15">
        <v>0</v>
      </c>
      <c r="E472" t="str">
        <f>IFERROR(VLOOKUP(C472,'LEAID Match'!$A$2:$B$214,2,FALSE),"")</f>
        <v/>
      </c>
    </row>
    <row r="473" spans="1:5">
      <c r="A473" t="s">
        <v>379</v>
      </c>
      <c r="B473">
        <v>2015</v>
      </c>
      <c r="C473" s="10" t="s">
        <v>141</v>
      </c>
      <c r="D473" s="15">
        <v>504587.17</v>
      </c>
      <c r="E473" t="str">
        <f>IFERROR(VLOOKUP(C473,'LEAID Match'!$A$2:$B$214,2,FALSE),"")</f>
        <v/>
      </c>
    </row>
    <row r="474" spans="1:5">
      <c r="A474" t="s">
        <v>379</v>
      </c>
      <c r="B474">
        <v>2016</v>
      </c>
      <c r="C474" s="10" t="s">
        <v>141</v>
      </c>
      <c r="D474" s="15">
        <v>475270.17</v>
      </c>
      <c r="E474" t="str">
        <f>IFERROR(VLOOKUP(C474,'LEAID Match'!$A$2:$B$214,2,FALSE),"")</f>
        <v/>
      </c>
    </row>
    <row r="475" spans="1:5">
      <c r="A475" t="s">
        <v>379</v>
      </c>
      <c r="B475">
        <v>2017</v>
      </c>
      <c r="C475" s="10" t="s">
        <v>141</v>
      </c>
      <c r="D475" s="15">
        <v>522042</v>
      </c>
      <c r="E475" t="str">
        <f>IFERROR(VLOOKUP(C475,'LEAID Match'!$A$2:$B$214,2,FALSE),"")</f>
        <v/>
      </c>
    </row>
    <row r="476" spans="1:5">
      <c r="A476" t="s">
        <v>379</v>
      </c>
      <c r="B476">
        <v>2018</v>
      </c>
      <c r="C476" s="10" t="s">
        <v>141</v>
      </c>
      <c r="E476" t="str">
        <f>IFERROR(VLOOKUP(C476,'LEAID Match'!$A$2:$B$214,2,FALSE),"")</f>
        <v/>
      </c>
    </row>
    <row r="477" spans="1:5">
      <c r="A477" t="s">
        <v>379</v>
      </c>
      <c r="B477">
        <v>2019</v>
      </c>
      <c r="C477" s="10" t="s">
        <v>141</v>
      </c>
      <c r="D477" s="15">
        <v>0</v>
      </c>
      <c r="E477" t="str">
        <f>IFERROR(VLOOKUP(C477,'LEAID Match'!$A$2:$B$214,2,FALSE),"")</f>
        <v/>
      </c>
    </row>
    <row r="478" spans="1:5">
      <c r="A478" t="s">
        <v>379</v>
      </c>
      <c r="B478">
        <v>2020</v>
      </c>
      <c r="C478" s="10" t="s">
        <v>141</v>
      </c>
      <c r="D478" s="15">
        <v>0</v>
      </c>
      <c r="E478" t="str">
        <f>IFERROR(VLOOKUP(C478,'LEAID Match'!$A$2:$B$214,2,FALSE),"")</f>
        <v/>
      </c>
    </row>
    <row r="479" spans="1:5">
      <c r="A479" t="s">
        <v>379</v>
      </c>
      <c r="B479">
        <v>2021</v>
      </c>
      <c r="C479" s="10" t="s">
        <v>141</v>
      </c>
      <c r="D479" s="15">
        <v>0</v>
      </c>
      <c r="E479" t="str">
        <f>IFERROR(VLOOKUP(C479,'LEAID Match'!$A$2:$B$214,2,FALSE),"")</f>
        <v/>
      </c>
    </row>
    <row r="480" spans="1:5">
      <c r="A480" t="s">
        <v>379</v>
      </c>
      <c r="B480">
        <v>2015</v>
      </c>
      <c r="C480" s="10" t="s">
        <v>144</v>
      </c>
      <c r="D480" s="15">
        <v>72160.08</v>
      </c>
      <c r="E480" t="str">
        <f>IFERROR(VLOOKUP(C480,'LEAID Match'!$A$2:$B$214,2,FALSE),"")</f>
        <v/>
      </c>
    </row>
    <row r="481" spans="1:5">
      <c r="A481" t="s">
        <v>379</v>
      </c>
      <c r="B481">
        <v>2016</v>
      </c>
      <c r="C481" s="10" t="s">
        <v>144</v>
      </c>
      <c r="D481" s="15">
        <v>65908.55</v>
      </c>
      <c r="E481" t="str">
        <f>IFERROR(VLOOKUP(C481,'LEAID Match'!$A$2:$B$214,2,FALSE),"")</f>
        <v/>
      </c>
    </row>
    <row r="482" spans="1:5">
      <c r="A482" t="s">
        <v>379</v>
      </c>
      <c r="B482">
        <v>2017</v>
      </c>
      <c r="C482" s="10" t="s">
        <v>144</v>
      </c>
      <c r="D482" s="15">
        <v>68058</v>
      </c>
      <c r="E482" t="str">
        <f>IFERROR(VLOOKUP(C482,'LEAID Match'!$A$2:$B$214,2,FALSE),"")</f>
        <v/>
      </c>
    </row>
    <row r="483" spans="1:5">
      <c r="A483" t="s">
        <v>379</v>
      </c>
      <c r="B483">
        <v>2018</v>
      </c>
      <c r="C483" s="10" t="s">
        <v>144</v>
      </c>
      <c r="E483" t="str">
        <f>IFERROR(VLOOKUP(C483,'LEAID Match'!$A$2:$B$214,2,FALSE),"")</f>
        <v/>
      </c>
    </row>
    <row r="484" spans="1:5">
      <c r="A484" t="s">
        <v>379</v>
      </c>
      <c r="B484">
        <v>2019</v>
      </c>
      <c r="C484" s="10" t="s">
        <v>144</v>
      </c>
      <c r="D484" s="15">
        <v>0</v>
      </c>
      <c r="E484" t="str">
        <f>IFERROR(VLOOKUP(C484,'LEAID Match'!$A$2:$B$214,2,FALSE),"")</f>
        <v/>
      </c>
    </row>
    <row r="485" spans="1:5">
      <c r="A485" t="s">
        <v>379</v>
      </c>
      <c r="B485">
        <v>2020</v>
      </c>
      <c r="C485" s="10" t="s">
        <v>144</v>
      </c>
      <c r="D485" s="15">
        <v>0</v>
      </c>
      <c r="E485" t="str">
        <f>IFERROR(VLOOKUP(C485,'LEAID Match'!$A$2:$B$214,2,FALSE),"")</f>
        <v/>
      </c>
    </row>
    <row r="486" spans="1:5">
      <c r="A486" t="s">
        <v>379</v>
      </c>
      <c r="B486">
        <v>2021</v>
      </c>
      <c r="C486" s="10" t="s">
        <v>144</v>
      </c>
      <c r="D486" s="15">
        <v>0</v>
      </c>
      <c r="E486" t="str">
        <f>IFERROR(VLOOKUP(C486,'LEAID Match'!$A$2:$B$214,2,FALSE),"")</f>
        <v/>
      </c>
    </row>
    <row r="487" spans="1:5">
      <c r="A487" t="s">
        <v>379</v>
      </c>
      <c r="B487">
        <v>2015</v>
      </c>
      <c r="C487" s="10" t="s">
        <v>145</v>
      </c>
      <c r="D487" s="15">
        <v>48341.33</v>
      </c>
      <c r="E487" t="str">
        <f>IFERROR(VLOOKUP(C487,'LEAID Match'!$A$2:$B$214,2,FALSE),"")</f>
        <v/>
      </c>
    </row>
    <row r="488" spans="1:5">
      <c r="A488" t="s">
        <v>379</v>
      </c>
      <c r="B488">
        <v>2016</v>
      </c>
      <c r="C488" s="10" t="s">
        <v>145</v>
      </c>
      <c r="D488" s="15">
        <v>52051.81</v>
      </c>
      <c r="E488" t="str">
        <f>IFERROR(VLOOKUP(C488,'LEAID Match'!$A$2:$B$214,2,FALSE),"")</f>
        <v/>
      </c>
    </row>
    <row r="489" spans="1:5">
      <c r="A489" t="s">
        <v>379</v>
      </c>
      <c r="B489">
        <v>2017</v>
      </c>
      <c r="C489" s="10" t="s">
        <v>145</v>
      </c>
      <c r="E489" t="str">
        <f>IFERROR(VLOOKUP(C489,'LEAID Match'!$A$2:$B$214,2,FALSE),"")</f>
        <v/>
      </c>
    </row>
    <row r="490" spans="1:5">
      <c r="A490" t="s">
        <v>379</v>
      </c>
      <c r="B490">
        <v>2018</v>
      </c>
      <c r="C490" s="10" t="s">
        <v>145</v>
      </c>
      <c r="E490" t="str">
        <f>IFERROR(VLOOKUP(C490,'LEAID Match'!$A$2:$B$214,2,FALSE),"")</f>
        <v/>
      </c>
    </row>
    <row r="491" spans="1:5">
      <c r="A491" t="s">
        <v>379</v>
      </c>
      <c r="B491">
        <v>2019</v>
      </c>
      <c r="C491" s="10" t="s">
        <v>145</v>
      </c>
      <c r="D491" s="15">
        <v>0</v>
      </c>
      <c r="E491" t="str">
        <f>IFERROR(VLOOKUP(C491,'LEAID Match'!$A$2:$B$214,2,FALSE),"")</f>
        <v/>
      </c>
    </row>
    <row r="492" spans="1:5">
      <c r="A492" t="s">
        <v>379</v>
      </c>
      <c r="B492">
        <v>2020</v>
      </c>
      <c r="C492" s="10" t="s">
        <v>145</v>
      </c>
      <c r="D492" s="15">
        <v>0</v>
      </c>
      <c r="E492" t="str">
        <f>IFERROR(VLOOKUP(C492,'LEAID Match'!$A$2:$B$214,2,FALSE),"")</f>
        <v/>
      </c>
    </row>
    <row r="493" spans="1:5">
      <c r="A493" t="s">
        <v>379</v>
      </c>
      <c r="B493">
        <v>2019</v>
      </c>
      <c r="C493" s="10" t="s">
        <v>329</v>
      </c>
      <c r="D493" s="15">
        <v>1010680</v>
      </c>
      <c r="E493" t="str">
        <f>IFERROR(VLOOKUP(C493,'LEAID Match'!$A$2:$B$214,2,FALSE),"")</f>
        <v/>
      </c>
    </row>
    <row r="494" spans="1:5">
      <c r="A494" t="s">
        <v>379</v>
      </c>
      <c r="B494">
        <v>2020</v>
      </c>
      <c r="C494" s="10" t="s">
        <v>329</v>
      </c>
      <c r="D494" s="15">
        <v>1707436</v>
      </c>
      <c r="E494" t="str">
        <f>IFERROR(VLOOKUP(C494,'LEAID Match'!$A$2:$B$214,2,FALSE),"")</f>
        <v/>
      </c>
    </row>
    <row r="495" spans="1:5">
      <c r="A495" t="s">
        <v>379</v>
      </c>
      <c r="B495">
        <v>2021</v>
      </c>
      <c r="C495" s="10" t="s">
        <v>329</v>
      </c>
      <c r="D495" s="15">
        <v>1736767</v>
      </c>
      <c r="E495" t="str">
        <f>IFERROR(VLOOKUP(C495,'LEAID Match'!$A$2:$B$214,2,FALSE),"")</f>
        <v/>
      </c>
    </row>
    <row r="496" spans="1:5">
      <c r="A496" t="s">
        <v>379</v>
      </c>
      <c r="B496">
        <v>2022</v>
      </c>
      <c r="C496" s="10" t="s">
        <v>329</v>
      </c>
      <c r="D496" s="15">
        <v>4336130</v>
      </c>
      <c r="E496" t="str">
        <f>IFERROR(VLOOKUP(C496,'LEAID Match'!$A$2:$B$214,2,FALSE),"")</f>
        <v/>
      </c>
    </row>
    <row r="497" spans="1:5">
      <c r="A497" t="s">
        <v>379</v>
      </c>
      <c r="B497">
        <v>2019</v>
      </c>
      <c r="C497" s="10" t="s">
        <v>330</v>
      </c>
      <c r="D497" s="15">
        <v>110747</v>
      </c>
      <c r="E497" t="str">
        <f>IFERROR(VLOOKUP(C497,'LEAID Match'!$A$2:$B$214,2,FALSE),"")</f>
        <v/>
      </c>
    </row>
    <row r="498" spans="1:5">
      <c r="A498" t="s">
        <v>379</v>
      </c>
      <c r="B498">
        <v>2020</v>
      </c>
      <c r="C498" s="10" t="s">
        <v>330</v>
      </c>
      <c r="D498" s="15">
        <v>117162</v>
      </c>
      <c r="E498" t="str">
        <f>IFERROR(VLOOKUP(C498,'LEAID Match'!$A$2:$B$214,2,FALSE),"")</f>
        <v/>
      </c>
    </row>
    <row r="499" spans="1:5">
      <c r="A499" t="s">
        <v>379</v>
      </c>
      <c r="B499">
        <v>2021</v>
      </c>
      <c r="C499" s="10" t="s">
        <v>330</v>
      </c>
      <c r="D499" s="15">
        <v>151037</v>
      </c>
      <c r="E499" t="str">
        <f>IFERROR(VLOOKUP(C499,'LEAID Match'!$A$2:$B$214,2,FALSE),"")</f>
        <v/>
      </c>
    </row>
    <row r="500" spans="1:5">
      <c r="A500" t="s">
        <v>379</v>
      </c>
      <c r="B500">
        <v>2022</v>
      </c>
      <c r="C500" s="10" t="s">
        <v>330</v>
      </c>
      <c r="D500" s="15">
        <v>0</v>
      </c>
      <c r="E500" t="str">
        <f>IFERROR(VLOOKUP(C500,'LEAID Match'!$A$2:$B$214,2,FALSE),"")</f>
        <v/>
      </c>
    </row>
    <row r="501" spans="1:5">
      <c r="A501" t="s">
        <v>379</v>
      </c>
      <c r="B501">
        <v>2020</v>
      </c>
      <c r="C501" s="10" t="s">
        <v>348</v>
      </c>
      <c r="D501" s="15">
        <v>1138861</v>
      </c>
      <c r="E501" t="str">
        <f>IFERROR(VLOOKUP(C501,'LEAID Match'!$A$2:$B$214,2,FALSE),"")</f>
        <v/>
      </c>
    </row>
    <row r="502" spans="1:5">
      <c r="A502" t="s">
        <v>379</v>
      </c>
      <c r="B502">
        <v>2021</v>
      </c>
      <c r="C502" s="10" t="s">
        <v>348</v>
      </c>
      <c r="D502" s="15">
        <v>1133660</v>
      </c>
      <c r="E502" t="str">
        <f>IFERROR(VLOOKUP(C502,'LEAID Match'!$A$2:$B$214,2,FALSE),"")</f>
        <v/>
      </c>
    </row>
    <row r="503" spans="1:5">
      <c r="A503" t="s">
        <v>379</v>
      </c>
      <c r="B503">
        <v>2022</v>
      </c>
      <c r="C503" s="10" t="s">
        <v>348</v>
      </c>
      <c r="D503" s="15">
        <v>2849375</v>
      </c>
      <c r="E503" t="str">
        <f>IFERROR(VLOOKUP(C503,'LEAID Match'!$A$2:$B$214,2,FALSE),"")</f>
        <v/>
      </c>
    </row>
    <row r="504" spans="1:5">
      <c r="A504" t="s">
        <v>379</v>
      </c>
      <c r="B504">
        <v>2015</v>
      </c>
      <c r="C504" s="10" t="s">
        <v>135</v>
      </c>
      <c r="D504" s="15">
        <v>610756.6</v>
      </c>
      <c r="E504" t="str">
        <f>IFERROR(VLOOKUP(C504,'LEAID Match'!$A$2:$B$214,2,FALSE),"")</f>
        <v/>
      </c>
    </row>
    <row r="505" spans="1:5">
      <c r="A505" t="s">
        <v>379</v>
      </c>
      <c r="B505">
        <v>2016</v>
      </c>
      <c r="C505" s="10" t="s">
        <v>135</v>
      </c>
      <c r="D505" s="15">
        <v>474759.31</v>
      </c>
      <c r="E505" t="str">
        <f>IFERROR(VLOOKUP(C505,'LEAID Match'!$A$2:$B$214,2,FALSE),"")</f>
        <v/>
      </c>
    </row>
    <row r="506" spans="1:5">
      <c r="A506" t="s">
        <v>379</v>
      </c>
      <c r="B506">
        <v>2017</v>
      </c>
      <c r="C506" s="10" t="s">
        <v>135</v>
      </c>
      <c r="D506" s="15">
        <v>512661</v>
      </c>
      <c r="E506" t="str">
        <f>IFERROR(VLOOKUP(C506,'LEAID Match'!$A$2:$B$214,2,FALSE),"")</f>
        <v/>
      </c>
    </row>
    <row r="507" spans="1:5">
      <c r="A507" t="s">
        <v>379</v>
      </c>
      <c r="B507">
        <v>2018</v>
      </c>
      <c r="C507" s="10" t="s">
        <v>135</v>
      </c>
      <c r="E507" t="str">
        <f>IFERROR(VLOOKUP(C507,'LEAID Match'!$A$2:$B$214,2,FALSE),"")</f>
        <v/>
      </c>
    </row>
    <row r="508" spans="1:5">
      <c r="A508" t="s">
        <v>379</v>
      </c>
      <c r="B508">
        <v>2019</v>
      </c>
      <c r="C508" s="10" t="s">
        <v>135</v>
      </c>
      <c r="D508" s="15">
        <v>0</v>
      </c>
      <c r="E508" t="str">
        <f>IFERROR(VLOOKUP(C508,'LEAID Match'!$A$2:$B$214,2,FALSE),"")</f>
        <v/>
      </c>
    </row>
    <row r="509" spans="1:5">
      <c r="A509" t="s">
        <v>379</v>
      </c>
      <c r="B509">
        <v>2020</v>
      </c>
      <c r="C509" s="10" t="s">
        <v>135</v>
      </c>
      <c r="D509" s="15">
        <v>0</v>
      </c>
      <c r="E509" t="str">
        <f>IFERROR(VLOOKUP(C509,'LEAID Match'!$A$2:$B$214,2,FALSE),"")</f>
        <v/>
      </c>
    </row>
    <row r="510" spans="1:5">
      <c r="A510" t="s">
        <v>379</v>
      </c>
      <c r="B510">
        <v>2021</v>
      </c>
      <c r="C510" s="10" t="s">
        <v>135</v>
      </c>
      <c r="D510" s="15">
        <v>0</v>
      </c>
      <c r="E510" t="str">
        <f>IFERROR(VLOOKUP(C510,'LEAID Match'!$A$2:$B$214,2,FALSE),"")</f>
        <v/>
      </c>
    </row>
    <row r="511" spans="1:5">
      <c r="A511" t="s">
        <v>379</v>
      </c>
      <c r="B511">
        <v>2015</v>
      </c>
      <c r="C511" s="10" t="s">
        <v>136</v>
      </c>
      <c r="D511" s="15">
        <v>558032.82999999996</v>
      </c>
      <c r="E511" t="str">
        <f>IFERROR(VLOOKUP(C511,'LEAID Match'!$A$2:$B$214,2,FALSE),"")</f>
        <v/>
      </c>
    </row>
    <row r="512" spans="1:5">
      <c r="A512" t="s">
        <v>379</v>
      </c>
      <c r="B512">
        <v>2016</v>
      </c>
      <c r="C512" s="10" t="s">
        <v>136</v>
      </c>
      <c r="D512" s="15">
        <v>447101.54</v>
      </c>
      <c r="E512" t="str">
        <f>IFERROR(VLOOKUP(C512,'LEAID Match'!$A$2:$B$214,2,FALSE),"")</f>
        <v/>
      </c>
    </row>
    <row r="513" spans="1:5">
      <c r="A513" t="s">
        <v>379</v>
      </c>
      <c r="B513">
        <v>2017</v>
      </c>
      <c r="C513" s="10" t="s">
        <v>136</v>
      </c>
      <c r="D513" s="15">
        <v>471208</v>
      </c>
      <c r="E513" t="str">
        <f>IFERROR(VLOOKUP(C513,'LEAID Match'!$A$2:$B$214,2,FALSE),"")</f>
        <v/>
      </c>
    </row>
    <row r="514" spans="1:5">
      <c r="A514" t="s">
        <v>379</v>
      </c>
      <c r="B514">
        <v>2018</v>
      </c>
      <c r="C514" s="10" t="s">
        <v>136</v>
      </c>
      <c r="E514" t="str">
        <f>IFERROR(VLOOKUP(C514,'LEAID Match'!$A$2:$B$214,2,FALSE),"")</f>
        <v/>
      </c>
    </row>
    <row r="515" spans="1:5">
      <c r="A515" t="s">
        <v>379</v>
      </c>
      <c r="B515">
        <v>2019</v>
      </c>
      <c r="C515" s="10" t="s">
        <v>136</v>
      </c>
      <c r="D515" s="15">
        <v>0</v>
      </c>
      <c r="E515" t="str">
        <f>IFERROR(VLOOKUP(C515,'LEAID Match'!$A$2:$B$214,2,FALSE),"")</f>
        <v/>
      </c>
    </row>
    <row r="516" spans="1:5">
      <c r="A516" t="s">
        <v>379</v>
      </c>
      <c r="B516">
        <v>2020</v>
      </c>
      <c r="C516" s="10" t="s">
        <v>136</v>
      </c>
      <c r="D516" s="15">
        <v>0</v>
      </c>
      <c r="E516" t="str">
        <f>IFERROR(VLOOKUP(C516,'LEAID Match'!$A$2:$B$214,2,FALSE),"")</f>
        <v/>
      </c>
    </row>
    <row r="517" spans="1:5">
      <c r="A517" t="s">
        <v>379</v>
      </c>
      <c r="B517">
        <v>2021</v>
      </c>
      <c r="C517" s="10" t="s">
        <v>136</v>
      </c>
      <c r="D517" s="15">
        <v>0</v>
      </c>
      <c r="E517" t="str">
        <f>IFERROR(VLOOKUP(C517,'LEAID Match'!$A$2:$B$214,2,FALSE),"")</f>
        <v/>
      </c>
    </row>
    <row r="518" spans="1:5">
      <c r="A518" t="s">
        <v>379</v>
      </c>
      <c r="B518">
        <v>2015</v>
      </c>
      <c r="C518" s="10" t="s">
        <v>153</v>
      </c>
      <c r="D518" s="15">
        <v>17007.23</v>
      </c>
      <c r="E518" t="str">
        <f>IFERROR(VLOOKUP(C518,'LEAID Match'!$A$2:$B$214,2,FALSE),"")</f>
        <v/>
      </c>
    </row>
    <row r="519" spans="1:5">
      <c r="A519" t="s">
        <v>379</v>
      </c>
      <c r="B519">
        <v>2016</v>
      </c>
      <c r="C519" s="10" t="s">
        <v>153</v>
      </c>
      <c r="D519" s="15">
        <v>19689.52</v>
      </c>
      <c r="E519" t="str">
        <f>IFERROR(VLOOKUP(C519,'LEAID Match'!$A$2:$B$214,2,FALSE),"")</f>
        <v/>
      </c>
    </row>
    <row r="520" spans="1:5">
      <c r="A520" t="s">
        <v>379</v>
      </c>
      <c r="B520">
        <v>2017</v>
      </c>
      <c r="C520" s="10" t="s">
        <v>153</v>
      </c>
      <c r="E520" t="str">
        <f>IFERROR(VLOOKUP(C520,'LEAID Match'!$A$2:$B$214,2,FALSE),"")</f>
        <v/>
      </c>
    </row>
    <row r="521" spans="1:5">
      <c r="A521" t="s">
        <v>379</v>
      </c>
      <c r="B521">
        <v>2018</v>
      </c>
      <c r="C521" s="10" t="s">
        <v>153</v>
      </c>
      <c r="E521" t="str">
        <f>IFERROR(VLOOKUP(C521,'LEAID Match'!$A$2:$B$214,2,FALSE),"")</f>
        <v/>
      </c>
    </row>
    <row r="522" spans="1:5">
      <c r="A522" t="s">
        <v>379</v>
      </c>
      <c r="B522">
        <v>2019</v>
      </c>
      <c r="C522" s="10" t="s">
        <v>153</v>
      </c>
      <c r="D522" s="15">
        <v>0</v>
      </c>
      <c r="E522" t="str">
        <f>IFERROR(VLOOKUP(C522,'LEAID Match'!$A$2:$B$214,2,FALSE),"")</f>
        <v/>
      </c>
    </row>
    <row r="523" spans="1:5">
      <c r="A523" t="s">
        <v>379</v>
      </c>
      <c r="B523">
        <v>2020</v>
      </c>
      <c r="C523" s="10" t="s">
        <v>153</v>
      </c>
      <c r="D523" s="15">
        <v>0</v>
      </c>
      <c r="E523" t="str">
        <f>IFERROR(VLOOKUP(C523,'LEAID Match'!$A$2:$B$214,2,FALSE),"")</f>
        <v/>
      </c>
    </row>
    <row r="524" spans="1:5">
      <c r="A524" t="s">
        <v>379</v>
      </c>
      <c r="B524">
        <v>2019</v>
      </c>
      <c r="C524" s="10" t="s">
        <v>331</v>
      </c>
      <c r="D524" s="15">
        <v>1107642</v>
      </c>
      <c r="E524" t="str">
        <f>IFERROR(VLOOKUP(C524,'LEAID Match'!$A$2:$B$214,2,FALSE),"")</f>
        <v/>
      </c>
    </row>
    <row r="525" spans="1:5">
      <c r="A525" t="s">
        <v>379</v>
      </c>
      <c r="B525">
        <v>2020</v>
      </c>
      <c r="C525" s="10" t="s">
        <v>331</v>
      </c>
      <c r="D525" s="15">
        <v>1129770</v>
      </c>
      <c r="E525" t="str">
        <f>IFERROR(VLOOKUP(C525,'LEAID Match'!$A$2:$B$214,2,FALSE),"")</f>
        <v/>
      </c>
    </row>
    <row r="526" spans="1:5">
      <c r="A526" t="s">
        <v>379</v>
      </c>
      <c r="B526">
        <v>2021</v>
      </c>
      <c r="C526" s="10" t="s">
        <v>331</v>
      </c>
      <c r="D526" s="15">
        <v>1146832</v>
      </c>
      <c r="E526" t="str">
        <f>IFERROR(VLOOKUP(C526,'LEAID Match'!$A$2:$B$214,2,FALSE),"")</f>
        <v/>
      </c>
    </row>
    <row r="527" spans="1:5">
      <c r="A527" t="s">
        <v>379</v>
      </c>
      <c r="B527">
        <v>2022</v>
      </c>
      <c r="C527" s="10" t="s">
        <v>331</v>
      </c>
      <c r="D527" s="15">
        <v>2739363</v>
      </c>
      <c r="E527" t="str">
        <f>IFERROR(VLOOKUP(C527,'LEAID Match'!$A$2:$B$214,2,FALSE),"")</f>
        <v/>
      </c>
    </row>
    <row r="528" spans="1:5">
      <c r="A528" t="s">
        <v>379</v>
      </c>
      <c r="B528">
        <v>2015</v>
      </c>
      <c r="C528" s="10" t="s">
        <v>158</v>
      </c>
      <c r="D528" s="15">
        <v>32455.24</v>
      </c>
      <c r="E528" t="str">
        <f>IFERROR(VLOOKUP(C528,'LEAID Match'!$A$2:$B$214,2,FALSE),"")</f>
        <v/>
      </c>
    </row>
    <row r="529" spans="1:5">
      <c r="A529" t="s">
        <v>379</v>
      </c>
      <c r="B529">
        <v>2016</v>
      </c>
      <c r="C529" s="10" t="s">
        <v>158</v>
      </c>
      <c r="D529" s="15">
        <v>39497.519999999997</v>
      </c>
      <c r="E529" t="str">
        <f>IFERROR(VLOOKUP(C529,'LEAID Match'!$A$2:$B$214,2,FALSE),"")</f>
        <v/>
      </c>
    </row>
    <row r="530" spans="1:5">
      <c r="A530" t="s">
        <v>379</v>
      </c>
      <c r="B530">
        <v>2017</v>
      </c>
      <c r="C530" s="10" t="s">
        <v>158</v>
      </c>
      <c r="E530" t="str">
        <f>IFERROR(VLOOKUP(C530,'LEAID Match'!$A$2:$B$214,2,FALSE),"")</f>
        <v/>
      </c>
    </row>
    <row r="531" spans="1:5">
      <c r="A531" t="s">
        <v>379</v>
      </c>
      <c r="B531">
        <v>2018</v>
      </c>
      <c r="C531" s="10" t="s">
        <v>158</v>
      </c>
      <c r="E531" t="str">
        <f>IFERROR(VLOOKUP(C531,'LEAID Match'!$A$2:$B$214,2,FALSE),"")</f>
        <v/>
      </c>
    </row>
    <row r="532" spans="1:5">
      <c r="A532" t="s">
        <v>379</v>
      </c>
      <c r="B532">
        <v>2019</v>
      </c>
      <c r="C532" s="10" t="s">
        <v>158</v>
      </c>
      <c r="D532" s="15">
        <v>0</v>
      </c>
      <c r="E532" t="str">
        <f>IFERROR(VLOOKUP(C532,'LEAID Match'!$A$2:$B$214,2,FALSE),"")</f>
        <v/>
      </c>
    </row>
    <row r="533" spans="1:5">
      <c r="A533" t="s">
        <v>379</v>
      </c>
      <c r="B533">
        <v>2020</v>
      </c>
      <c r="C533" s="10" t="s">
        <v>158</v>
      </c>
      <c r="D533" s="15">
        <v>0</v>
      </c>
      <c r="E533" t="str">
        <f>IFERROR(VLOOKUP(C533,'LEAID Match'!$A$2:$B$214,2,FALSE),"")</f>
        <v/>
      </c>
    </row>
    <row r="534" spans="1:5">
      <c r="A534" t="s">
        <v>379</v>
      </c>
      <c r="B534">
        <v>2016</v>
      </c>
      <c r="C534" s="10" t="s">
        <v>332</v>
      </c>
      <c r="D534" s="15">
        <v>325408.71000000002</v>
      </c>
      <c r="E534" t="str">
        <f>IFERROR(VLOOKUP(C534,'LEAID Match'!$A$2:$B$214,2,FALSE),"")</f>
        <v/>
      </c>
    </row>
    <row r="535" spans="1:5">
      <c r="A535" t="s">
        <v>379</v>
      </c>
      <c r="B535">
        <v>2017</v>
      </c>
      <c r="C535" s="10" t="s">
        <v>332</v>
      </c>
      <c r="D535" s="15">
        <v>389464</v>
      </c>
      <c r="E535" t="str">
        <f>IFERROR(VLOOKUP(C535,'LEAID Match'!$A$2:$B$214,2,FALSE),"")</f>
        <v/>
      </c>
    </row>
    <row r="536" spans="1:5">
      <c r="A536" t="s">
        <v>379</v>
      </c>
      <c r="B536">
        <v>2018</v>
      </c>
      <c r="C536" s="10" t="s">
        <v>332</v>
      </c>
      <c r="D536" s="15">
        <v>557773</v>
      </c>
      <c r="E536" t="str">
        <f>IFERROR(VLOOKUP(C536,'LEAID Match'!$A$2:$B$214,2,FALSE),"")</f>
        <v/>
      </c>
    </row>
    <row r="537" spans="1:5">
      <c r="A537" t="s">
        <v>379</v>
      </c>
      <c r="B537">
        <v>2019</v>
      </c>
      <c r="C537" s="10" t="s">
        <v>332</v>
      </c>
      <c r="D537" s="15">
        <v>550572</v>
      </c>
      <c r="E537" t="str">
        <f>IFERROR(VLOOKUP(C537,'LEAID Match'!$A$2:$B$214,2,FALSE),"")</f>
        <v/>
      </c>
    </row>
    <row r="538" spans="1:5">
      <c r="A538" t="s">
        <v>379</v>
      </c>
      <c r="B538">
        <v>2020</v>
      </c>
      <c r="C538" s="10" t="s">
        <v>332</v>
      </c>
      <c r="D538" s="15">
        <v>554807</v>
      </c>
      <c r="E538" t="str">
        <f>IFERROR(VLOOKUP(C538,'LEAID Match'!$A$2:$B$214,2,FALSE),"")</f>
        <v/>
      </c>
    </row>
    <row r="539" spans="1:5">
      <c r="A539" t="s">
        <v>379</v>
      </c>
      <c r="B539">
        <v>2021</v>
      </c>
      <c r="C539" s="10" t="s">
        <v>332</v>
      </c>
      <c r="D539" s="15">
        <v>521395</v>
      </c>
      <c r="E539" t="str">
        <f>IFERROR(VLOOKUP(C539,'LEAID Match'!$A$2:$B$214,2,FALSE),"")</f>
        <v/>
      </c>
    </row>
    <row r="540" spans="1:5">
      <c r="A540" t="s">
        <v>379</v>
      </c>
      <c r="B540">
        <v>2022</v>
      </c>
      <c r="C540" s="10" t="s">
        <v>332</v>
      </c>
      <c r="D540" s="15">
        <v>1359548</v>
      </c>
      <c r="E540" t="str">
        <f>IFERROR(VLOOKUP(C540,'LEAID Match'!$A$2:$B$214,2,FALSE),"")</f>
        <v/>
      </c>
    </row>
    <row r="541" spans="1:5">
      <c r="A541" t="s">
        <v>379</v>
      </c>
      <c r="B541">
        <v>2015</v>
      </c>
      <c r="C541" s="10" t="s">
        <v>162</v>
      </c>
      <c r="D541" s="15">
        <v>17898.8</v>
      </c>
      <c r="E541" t="str">
        <f>IFERROR(VLOOKUP(C541,'LEAID Match'!$A$2:$B$214,2,FALSE),"")</f>
        <v/>
      </c>
    </row>
    <row r="542" spans="1:5">
      <c r="A542" t="s">
        <v>379</v>
      </c>
      <c r="B542">
        <v>2016</v>
      </c>
      <c r="C542" s="10" t="s">
        <v>162</v>
      </c>
      <c r="E542" t="str">
        <f>IFERROR(VLOOKUP(C542,'LEAID Match'!$A$2:$B$214,2,FALSE),"")</f>
        <v/>
      </c>
    </row>
    <row r="543" spans="1:5">
      <c r="A543" t="s">
        <v>379</v>
      </c>
      <c r="B543">
        <v>2017</v>
      </c>
      <c r="C543" s="10" t="s">
        <v>162</v>
      </c>
      <c r="E543" t="str">
        <f>IFERROR(VLOOKUP(C543,'LEAID Match'!$A$2:$B$214,2,FALSE),"")</f>
        <v/>
      </c>
    </row>
    <row r="544" spans="1:5">
      <c r="A544" t="s">
        <v>379</v>
      </c>
      <c r="B544">
        <v>2018</v>
      </c>
      <c r="C544" s="10" t="s">
        <v>162</v>
      </c>
      <c r="E544" t="str">
        <f>IFERROR(VLOOKUP(C544,'LEAID Match'!$A$2:$B$214,2,FALSE),"")</f>
        <v/>
      </c>
    </row>
    <row r="545" spans="1:5">
      <c r="A545" t="s">
        <v>379</v>
      </c>
      <c r="B545">
        <v>2019</v>
      </c>
      <c r="C545" s="10" t="s">
        <v>162</v>
      </c>
      <c r="D545" s="15">
        <v>0</v>
      </c>
      <c r="E545" t="str">
        <f>IFERROR(VLOOKUP(C545,'LEAID Match'!$A$2:$B$214,2,FALSE),"")</f>
        <v/>
      </c>
    </row>
    <row r="546" spans="1:5">
      <c r="A546" t="s">
        <v>379</v>
      </c>
      <c r="B546">
        <v>2015</v>
      </c>
      <c r="C546" s="10" t="s">
        <v>163</v>
      </c>
      <c r="D546" s="15">
        <v>36031.47</v>
      </c>
      <c r="E546" t="str">
        <f>IFERROR(VLOOKUP(C546,'LEAID Match'!$A$2:$B$214,2,FALSE),"")</f>
        <v/>
      </c>
    </row>
    <row r="547" spans="1:5">
      <c r="A547" t="s">
        <v>379</v>
      </c>
      <c r="B547">
        <v>2016</v>
      </c>
      <c r="C547" s="10" t="s">
        <v>163</v>
      </c>
      <c r="E547" t="str">
        <f>IFERROR(VLOOKUP(C547,'LEAID Match'!$A$2:$B$214,2,FALSE),"")</f>
        <v/>
      </c>
    </row>
    <row r="548" spans="1:5">
      <c r="A548" t="s">
        <v>379</v>
      </c>
      <c r="B548">
        <v>2017</v>
      </c>
      <c r="C548" s="10" t="s">
        <v>163</v>
      </c>
      <c r="E548" t="str">
        <f>IFERROR(VLOOKUP(C548,'LEAID Match'!$A$2:$B$214,2,FALSE),"")</f>
        <v/>
      </c>
    </row>
    <row r="549" spans="1:5">
      <c r="A549" t="s">
        <v>379</v>
      </c>
      <c r="B549">
        <v>2018</v>
      </c>
      <c r="C549" s="10" t="s">
        <v>163</v>
      </c>
      <c r="E549" t="str">
        <f>IFERROR(VLOOKUP(C549,'LEAID Match'!$A$2:$B$214,2,FALSE),"")</f>
        <v/>
      </c>
    </row>
    <row r="550" spans="1:5">
      <c r="A550" t="s">
        <v>379</v>
      </c>
      <c r="B550">
        <v>2019</v>
      </c>
      <c r="C550" s="10" t="s">
        <v>163</v>
      </c>
      <c r="D550" s="15">
        <v>0</v>
      </c>
      <c r="E550" t="str">
        <f>IFERROR(VLOOKUP(C550,'LEAID Match'!$A$2:$B$214,2,FALSE),"")</f>
        <v/>
      </c>
    </row>
    <row r="551" spans="1:5">
      <c r="A551" t="s">
        <v>379</v>
      </c>
      <c r="B551">
        <v>2015</v>
      </c>
      <c r="C551" s="10" t="s">
        <v>279</v>
      </c>
      <c r="D551" s="15">
        <v>322432.39</v>
      </c>
      <c r="E551" t="str">
        <f>IFERROR(VLOOKUP(C551,'LEAID Match'!$A$2:$B$214,2,FALSE),"")</f>
        <v/>
      </c>
    </row>
    <row r="552" spans="1:5">
      <c r="A552" t="s">
        <v>379</v>
      </c>
      <c r="B552">
        <v>2016</v>
      </c>
      <c r="C552" s="10" t="s">
        <v>279</v>
      </c>
      <c r="D552" s="15">
        <v>328696.55</v>
      </c>
      <c r="E552" t="str">
        <f>IFERROR(VLOOKUP(C552,'LEAID Match'!$A$2:$B$214,2,FALSE),"")</f>
        <v/>
      </c>
    </row>
    <row r="553" spans="1:5">
      <c r="A553" t="s">
        <v>379</v>
      </c>
      <c r="B553">
        <v>2017</v>
      </c>
      <c r="C553" s="10" t="s">
        <v>279</v>
      </c>
      <c r="E553" t="str">
        <f>IFERROR(VLOOKUP(C553,'LEAID Match'!$A$2:$B$214,2,FALSE),"")</f>
        <v/>
      </c>
    </row>
    <row r="554" spans="1:5">
      <c r="A554" t="s">
        <v>379</v>
      </c>
      <c r="B554">
        <v>2018</v>
      </c>
      <c r="C554" s="10" t="s">
        <v>279</v>
      </c>
      <c r="E554" t="str">
        <f>IFERROR(VLOOKUP(C554,'LEAID Match'!$A$2:$B$214,2,FALSE),"")</f>
        <v/>
      </c>
    </row>
    <row r="555" spans="1:5">
      <c r="A555" t="s">
        <v>379</v>
      </c>
      <c r="B555">
        <v>2019</v>
      </c>
      <c r="C555" s="10" t="s">
        <v>279</v>
      </c>
      <c r="D555" s="15">
        <v>0</v>
      </c>
      <c r="E555" t="str">
        <f>IFERROR(VLOOKUP(C555,'LEAID Match'!$A$2:$B$214,2,FALSE),"")</f>
        <v/>
      </c>
    </row>
    <row r="556" spans="1:5">
      <c r="A556" t="s">
        <v>379</v>
      </c>
      <c r="B556">
        <v>2020</v>
      </c>
      <c r="C556" s="10" t="s">
        <v>279</v>
      </c>
      <c r="D556" s="15">
        <v>0</v>
      </c>
      <c r="E556" t="str">
        <f>IFERROR(VLOOKUP(C556,'LEAID Match'!$A$2:$B$214,2,FALSE),"")</f>
        <v/>
      </c>
    </row>
    <row r="557" spans="1:5">
      <c r="A557" t="s">
        <v>379</v>
      </c>
      <c r="B557">
        <v>2015</v>
      </c>
      <c r="C557" s="10" t="s">
        <v>216</v>
      </c>
      <c r="D557" s="15">
        <v>426428.71</v>
      </c>
      <c r="E557" t="str">
        <f>IFERROR(VLOOKUP(C557,'LEAID Match'!$A$2:$B$214,2,FALSE),"")</f>
        <v/>
      </c>
    </row>
    <row r="558" spans="1:5">
      <c r="A558" t="s">
        <v>379</v>
      </c>
      <c r="B558">
        <v>2016</v>
      </c>
      <c r="C558" s="10" t="s">
        <v>216</v>
      </c>
      <c r="D558" s="15">
        <v>410218.55</v>
      </c>
      <c r="E558" t="str">
        <f>IFERROR(VLOOKUP(C558,'LEAID Match'!$A$2:$B$214,2,FALSE),"")</f>
        <v/>
      </c>
    </row>
    <row r="559" spans="1:5">
      <c r="A559" t="s">
        <v>379</v>
      </c>
      <c r="B559">
        <v>2017</v>
      </c>
      <c r="C559" s="10" t="s">
        <v>216</v>
      </c>
      <c r="D559" s="15">
        <v>421460</v>
      </c>
      <c r="E559" t="str">
        <f>IFERROR(VLOOKUP(C559,'LEAID Match'!$A$2:$B$214,2,FALSE),"")</f>
        <v/>
      </c>
    </row>
    <row r="560" spans="1:5">
      <c r="A560" t="s">
        <v>379</v>
      </c>
      <c r="B560">
        <v>2018</v>
      </c>
      <c r="C560" s="10" t="s">
        <v>216</v>
      </c>
      <c r="E560" t="str">
        <f>IFERROR(VLOOKUP(C560,'LEAID Match'!$A$2:$B$214,2,FALSE),"")</f>
        <v/>
      </c>
    </row>
    <row r="561" spans="1:5">
      <c r="A561" t="s">
        <v>379</v>
      </c>
      <c r="B561">
        <v>2019</v>
      </c>
      <c r="C561" s="10" t="s">
        <v>216</v>
      </c>
      <c r="D561" s="15">
        <v>0</v>
      </c>
      <c r="E561" t="str">
        <f>IFERROR(VLOOKUP(C561,'LEAID Match'!$A$2:$B$214,2,FALSE),"")</f>
        <v/>
      </c>
    </row>
    <row r="562" spans="1:5">
      <c r="A562" t="s">
        <v>379</v>
      </c>
      <c r="B562">
        <v>2020</v>
      </c>
      <c r="C562" s="10" t="s">
        <v>216</v>
      </c>
      <c r="D562" s="15">
        <v>0</v>
      </c>
      <c r="E562" t="str">
        <f>IFERROR(VLOOKUP(C562,'LEAID Match'!$A$2:$B$214,2,FALSE),"")</f>
        <v/>
      </c>
    </row>
    <row r="563" spans="1:5">
      <c r="A563" t="s">
        <v>379</v>
      </c>
      <c r="B563">
        <v>2021</v>
      </c>
      <c r="C563" s="10" t="s">
        <v>216</v>
      </c>
      <c r="D563" s="15">
        <v>0</v>
      </c>
      <c r="E563" t="str">
        <f>IFERROR(VLOOKUP(C563,'LEAID Match'!$A$2:$B$214,2,FALSE),"")</f>
        <v/>
      </c>
    </row>
    <row r="564" spans="1:5">
      <c r="A564" t="s">
        <v>379</v>
      </c>
      <c r="B564">
        <v>2015</v>
      </c>
      <c r="C564" s="10" t="s">
        <v>164</v>
      </c>
      <c r="D564" s="15">
        <v>160237.23000000001</v>
      </c>
      <c r="E564" t="str">
        <f>IFERROR(VLOOKUP(C564,'LEAID Match'!$A$2:$B$214,2,FALSE),"")</f>
        <v/>
      </c>
    </row>
    <row r="565" spans="1:5">
      <c r="A565" t="s">
        <v>379</v>
      </c>
      <c r="B565">
        <v>2016</v>
      </c>
      <c r="C565" s="10" t="s">
        <v>164</v>
      </c>
      <c r="D565" s="15">
        <v>149409.84</v>
      </c>
      <c r="E565" t="str">
        <f>IFERROR(VLOOKUP(C565,'LEAID Match'!$A$2:$B$214,2,FALSE),"")</f>
        <v/>
      </c>
    </row>
    <row r="566" spans="1:5">
      <c r="A566" t="s">
        <v>379</v>
      </c>
      <c r="B566">
        <v>2017</v>
      </c>
      <c r="C566" s="10" t="s">
        <v>164</v>
      </c>
      <c r="D566" s="15">
        <v>153732</v>
      </c>
      <c r="E566" t="str">
        <f>IFERROR(VLOOKUP(C566,'LEAID Match'!$A$2:$B$214,2,FALSE),"")</f>
        <v/>
      </c>
    </row>
    <row r="567" spans="1:5">
      <c r="A567" t="s">
        <v>379</v>
      </c>
      <c r="B567">
        <v>2018</v>
      </c>
      <c r="C567" s="10" t="s">
        <v>164</v>
      </c>
      <c r="E567" t="str">
        <f>IFERROR(VLOOKUP(C567,'LEAID Match'!$A$2:$B$214,2,FALSE),"")</f>
        <v/>
      </c>
    </row>
    <row r="568" spans="1:5">
      <c r="A568" t="s">
        <v>379</v>
      </c>
      <c r="B568">
        <v>2019</v>
      </c>
      <c r="C568" s="10" t="s">
        <v>164</v>
      </c>
      <c r="D568" s="15">
        <v>0</v>
      </c>
      <c r="E568" t="str">
        <f>IFERROR(VLOOKUP(C568,'LEAID Match'!$A$2:$B$214,2,FALSE),"")</f>
        <v/>
      </c>
    </row>
    <row r="569" spans="1:5">
      <c r="A569" t="s">
        <v>379</v>
      </c>
      <c r="B569">
        <v>2020</v>
      </c>
      <c r="C569" s="10" t="s">
        <v>164</v>
      </c>
      <c r="D569" s="15">
        <v>0</v>
      </c>
      <c r="E569" t="str">
        <f>IFERROR(VLOOKUP(C569,'LEAID Match'!$A$2:$B$214,2,FALSE),"")</f>
        <v/>
      </c>
    </row>
    <row r="570" spans="1:5">
      <c r="A570" t="s">
        <v>379</v>
      </c>
      <c r="B570">
        <v>2021</v>
      </c>
      <c r="C570" s="10" t="s">
        <v>164</v>
      </c>
      <c r="D570" s="15">
        <v>0</v>
      </c>
      <c r="E570" t="str">
        <f>IFERROR(VLOOKUP(C570,'LEAID Match'!$A$2:$B$214,2,FALSE),"")</f>
        <v/>
      </c>
    </row>
    <row r="571" spans="1:5">
      <c r="A571" t="s">
        <v>379</v>
      </c>
      <c r="B571">
        <v>2015</v>
      </c>
      <c r="C571" s="10" t="s">
        <v>221</v>
      </c>
      <c r="D571" s="15">
        <v>310070.37</v>
      </c>
      <c r="E571" t="str">
        <f>IFERROR(VLOOKUP(C571,'LEAID Match'!$A$2:$B$214,2,FALSE),"")</f>
        <v/>
      </c>
    </row>
    <row r="572" spans="1:5">
      <c r="A572" t="s">
        <v>379</v>
      </c>
      <c r="B572">
        <v>2016</v>
      </c>
      <c r="C572" s="10" t="s">
        <v>221</v>
      </c>
      <c r="D572" s="15">
        <v>285011.14</v>
      </c>
      <c r="E572" t="str">
        <f>IFERROR(VLOOKUP(C572,'LEAID Match'!$A$2:$B$214,2,FALSE),"")</f>
        <v/>
      </c>
    </row>
    <row r="573" spans="1:5">
      <c r="A573" t="s">
        <v>379</v>
      </c>
      <c r="B573">
        <v>2017</v>
      </c>
      <c r="C573" s="10" t="s">
        <v>221</v>
      </c>
      <c r="D573" s="15">
        <v>307945</v>
      </c>
      <c r="E573" t="str">
        <f>IFERROR(VLOOKUP(C573,'LEAID Match'!$A$2:$B$214,2,FALSE),"")</f>
        <v/>
      </c>
    </row>
    <row r="574" spans="1:5">
      <c r="A574" t="s">
        <v>379</v>
      </c>
      <c r="B574">
        <v>2018</v>
      </c>
      <c r="C574" s="10" t="s">
        <v>221</v>
      </c>
      <c r="E574" t="str">
        <f>IFERROR(VLOOKUP(C574,'LEAID Match'!$A$2:$B$214,2,FALSE),"")</f>
        <v/>
      </c>
    </row>
    <row r="575" spans="1:5">
      <c r="A575" t="s">
        <v>379</v>
      </c>
      <c r="B575">
        <v>2019</v>
      </c>
      <c r="C575" s="10" t="s">
        <v>221</v>
      </c>
      <c r="D575" s="15">
        <v>0</v>
      </c>
      <c r="E575" t="str">
        <f>IFERROR(VLOOKUP(C575,'LEAID Match'!$A$2:$B$214,2,FALSE),"")</f>
        <v/>
      </c>
    </row>
    <row r="576" spans="1:5">
      <c r="A576" t="s">
        <v>379</v>
      </c>
      <c r="B576">
        <v>2020</v>
      </c>
      <c r="C576" s="10" t="s">
        <v>221</v>
      </c>
      <c r="D576" s="15">
        <v>0</v>
      </c>
      <c r="E576" t="str">
        <f>IFERROR(VLOOKUP(C576,'LEAID Match'!$A$2:$B$214,2,FALSE),"")</f>
        <v/>
      </c>
    </row>
    <row r="577" spans="1:5">
      <c r="A577" t="s">
        <v>379</v>
      </c>
      <c r="B577">
        <v>2021</v>
      </c>
      <c r="C577" s="10" t="s">
        <v>221</v>
      </c>
      <c r="D577" s="15">
        <v>0</v>
      </c>
      <c r="E577" t="str">
        <f>IFERROR(VLOOKUP(C577,'LEAID Match'!$A$2:$B$214,2,FALSE),"")</f>
        <v/>
      </c>
    </row>
    <row r="578" spans="1:5">
      <c r="A578" t="s">
        <v>379</v>
      </c>
      <c r="B578">
        <v>2015</v>
      </c>
      <c r="C578" s="10" t="s">
        <v>166</v>
      </c>
      <c r="D578" s="15">
        <v>130287.54</v>
      </c>
      <c r="E578" t="str">
        <f>IFERROR(VLOOKUP(C578,'LEAID Match'!$A$2:$B$214,2,FALSE),"")</f>
        <v/>
      </c>
    </row>
    <row r="579" spans="1:5">
      <c r="A579" t="s">
        <v>379</v>
      </c>
      <c r="B579">
        <v>2016</v>
      </c>
      <c r="C579" s="10" t="s">
        <v>166</v>
      </c>
      <c r="D579" s="15">
        <v>116878.71</v>
      </c>
      <c r="E579" t="str">
        <f>IFERROR(VLOOKUP(C579,'LEAID Match'!$A$2:$B$214,2,FALSE),"")</f>
        <v/>
      </c>
    </row>
    <row r="580" spans="1:5">
      <c r="A580" t="s">
        <v>379</v>
      </c>
      <c r="B580">
        <v>2017</v>
      </c>
      <c r="C580" s="10" t="s">
        <v>166</v>
      </c>
      <c r="D580" s="15">
        <v>104194</v>
      </c>
      <c r="E580" t="str">
        <f>IFERROR(VLOOKUP(C580,'LEAID Match'!$A$2:$B$214,2,FALSE),"")</f>
        <v/>
      </c>
    </row>
    <row r="581" spans="1:5">
      <c r="A581" t="s">
        <v>379</v>
      </c>
      <c r="B581">
        <v>2018</v>
      </c>
      <c r="C581" s="10" t="s">
        <v>166</v>
      </c>
      <c r="E581" t="str">
        <f>IFERROR(VLOOKUP(C581,'LEAID Match'!$A$2:$B$214,2,FALSE),"")</f>
        <v/>
      </c>
    </row>
    <row r="582" spans="1:5">
      <c r="A582" t="s">
        <v>379</v>
      </c>
      <c r="B582">
        <v>2019</v>
      </c>
      <c r="C582" s="10" t="s">
        <v>166</v>
      </c>
      <c r="D582" s="15">
        <v>0</v>
      </c>
      <c r="E582" t="str">
        <f>IFERROR(VLOOKUP(C582,'LEAID Match'!$A$2:$B$214,2,FALSE),"")</f>
        <v/>
      </c>
    </row>
    <row r="583" spans="1:5">
      <c r="A583" t="s">
        <v>379</v>
      </c>
      <c r="B583">
        <v>2020</v>
      </c>
      <c r="C583" s="10" t="s">
        <v>166</v>
      </c>
      <c r="D583" s="15">
        <v>0</v>
      </c>
      <c r="E583" t="str">
        <f>IFERROR(VLOOKUP(C583,'LEAID Match'!$A$2:$B$214,2,FALSE),"")</f>
        <v/>
      </c>
    </row>
    <row r="584" spans="1:5">
      <c r="A584" t="s">
        <v>379</v>
      </c>
      <c r="B584">
        <v>2021</v>
      </c>
      <c r="C584" s="10" t="s">
        <v>166</v>
      </c>
      <c r="D584" s="15">
        <v>0</v>
      </c>
      <c r="E584" t="str">
        <f>IFERROR(VLOOKUP(C584,'LEAID Match'!$A$2:$B$214,2,FALSE),"")</f>
        <v/>
      </c>
    </row>
    <row r="585" spans="1:5">
      <c r="A585" t="s">
        <v>379</v>
      </c>
      <c r="B585">
        <v>2015</v>
      </c>
      <c r="C585" s="10" t="s">
        <v>168</v>
      </c>
      <c r="D585" s="15">
        <v>124996.02</v>
      </c>
      <c r="E585" t="str">
        <f>IFERROR(VLOOKUP(C585,'LEAID Match'!$A$2:$B$214,2,FALSE),"")</f>
        <v/>
      </c>
    </row>
    <row r="586" spans="1:5">
      <c r="A586" t="s">
        <v>379</v>
      </c>
      <c r="B586">
        <v>2016</v>
      </c>
      <c r="C586" s="10" t="s">
        <v>168</v>
      </c>
      <c r="D586" s="15">
        <v>111370.87</v>
      </c>
      <c r="E586" t="str">
        <f>IFERROR(VLOOKUP(C586,'LEAID Match'!$A$2:$B$214,2,FALSE),"")</f>
        <v/>
      </c>
    </row>
    <row r="587" spans="1:5">
      <c r="A587" t="s">
        <v>379</v>
      </c>
      <c r="B587">
        <v>2017</v>
      </c>
      <c r="C587" s="10" t="s">
        <v>168</v>
      </c>
      <c r="E587" t="str">
        <f>IFERROR(VLOOKUP(C587,'LEAID Match'!$A$2:$B$214,2,FALSE),"")</f>
        <v/>
      </c>
    </row>
    <row r="588" spans="1:5">
      <c r="A588" t="s">
        <v>379</v>
      </c>
      <c r="B588">
        <v>2018</v>
      </c>
      <c r="C588" s="10" t="s">
        <v>168</v>
      </c>
      <c r="E588" t="str">
        <f>IFERROR(VLOOKUP(C588,'LEAID Match'!$A$2:$B$214,2,FALSE),"")</f>
        <v/>
      </c>
    </row>
    <row r="589" spans="1:5">
      <c r="A589" t="s">
        <v>379</v>
      </c>
      <c r="B589">
        <v>2019</v>
      </c>
      <c r="C589" s="10" t="s">
        <v>168</v>
      </c>
      <c r="D589" s="15">
        <v>0</v>
      </c>
      <c r="E589" t="str">
        <f>IFERROR(VLOOKUP(C589,'LEAID Match'!$A$2:$B$214,2,FALSE),"")</f>
        <v/>
      </c>
    </row>
    <row r="590" spans="1:5">
      <c r="A590" t="s">
        <v>379</v>
      </c>
      <c r="B590">
        <v>2020</v>
      </c>
      <c r="C590" s="10" t="s">
        <v>168</v>
      </c>
      <c r="D590" s="15">
        <v>0</v>
      </c>
      <c r="E590" t="str">
        <f>IFERROR(VLOOKUP(C590,'LEAID Match'!$A$2:$B$214,2,FALSE),"")</f>
        <v/>
      </c>
    </row>
    <row r="591" spans="1:5">
      <c r="A591" t="s">
        <v>379</v>
      </c>
      <c r="B591">
        <v>2015</v>
      </c>
      <c r="C591" s="10" t="s">
        <v>170</v>
      </c>
      <c r="D591" s="15">
        <v>125962.76</v>
      </c>
      <c r="E591" t="str">
        <f>IFERROR(VLOOKUP(C591,'LEAID Match'!$A$2:$B$214,2,FALSE),"")</f>
        <v/>
      </c>
    </row>
    <row r="592" spans="1:5">
      <c r="A592" t="s">
        <v>379</v>
      </c>
      <c r="B592">
        <v>2016</v>
      </c>
      <c r="C592" s="10" t="s">
        <v>170</v>
      </c>
      <c r="D592" s="15">
        <v>133506.48000000001</v>
      </c>
      <c r="E592" t="str">
        <f>IFERROR(VLOOKUP(C592,'LEAID Match'!$A$2:$B$214,2,FALSE),"")</f>
        <v/>
      </c>
    </row>
    <row r="593" spans="1:5">
      <c r="A593" t="s">
        <v>379</v>
      </c>
      <c r="B593">
        <v>2017</v>
      </c>
      <c r="C593" s="10" t="s">
        <v>170</v>
      </c>
      <c r="D593" s="15">
        <v>110762</v>
      </c>
      <c r="E593" t="str">
        <f>IFERROR(VLOOKUP(C593,'LEAID Match'!$A$2:$B$214,2,FALSE),"")</f>
        <v/>
      </c>
    </row>
    <row r="594" spans="1:5">
      <c r="A594" t="s">
        <v>379</v>
      </c>
      <c r="B594">
        <v>2018</v>
      </c>
      <c r="C594" s="10" t="s">
        <v>170</v>
      </c>
      <c r="E594" t="str">
        <f>IFERROR(VLOOKUP(C594,'LEAID Match'!$A$2:$B$214,2,FALSE),"")</f>
        <v/>
      </c>
    </row>
    <row r="595" spans="1:5">
      <c r="A595" t="s">
        <v>379</v>
      </c>
      <c r="B595">
        <v>2019</v>
      </c>
      <c r="C595" s="10" t="s">
        <v>170</v>
      </c>
      <c r="D595" s="15">
        <v>0</v>
      </c>
      <c r="E595" t="str">
        <f>IFERROR(VLOOKUP(C595,'LEAID Match'!$A$2:$B$214,2,FALSE),"")</f>
        <v/>
      </c>
    </row>
    <row r="596" spans="1:5">
      <c r="A596" t="s">
        <v>379</v>
      </c>
      <c r="B596">
        <v>2020</v>
      </c>
      <c r="C596" s="10" t="s">
        <v>170</v>
      </c>
      <c r="D596" s="15">
        <v>0</v>
      </c>
      <c r="E596" t="str">
        <f>IFERROR(VLOOKUP(C596,'LEAID Match'!$A$2:$B$214,2,FALSE),"")</f>
        <v/>
      </c>
    </row>
    <row r="597" spans="1:5">
      <c r="A597" t="s">
        <v>379</v>
      </c>
      <c r="B597">
        <v>2021</v>
      </c>
      <c r="C597" s="10" t="s">
        <v>170</v>
      </c>
      <c r="D597" s="15">
        <v>0</v>
      </c>
      <c r="E597" t="str">
        <f>IFERROR(VLOOKUP(C597,'LEAID Match'!$A$2:$B$214,2,FALSE),"")</f>
        <v/>
      </c>
    </row>
    <row r="598" spans="1:5">
      <c r="A598" t="s">
        <v>379</v>
      </c>
      <c r="B598">
        <v>2020</v>
      </c>
      <c r="C598" s="10" t="s">
        <v>349</v>
      </c>
      <c r="D598" s="15">
        <v>2180427</v>
      </c>
      <c r="E598" t="str">
        <f>IFERROR(VLOOKUP(C598,'LEAID Match'!$A$2:$B$214,2,FALSE),"")</f>
        <v/>
      </c>
    </row>
    <row r="599" spans="1:5">
      <c r="A599" t="s">
        <v>379</v>
      </c>
      <c r="B599">
        <v>2021</v>
      </c>
      <c r="C599" s="10" t="s">
        <v>349</v>
      </c>
      <c r="D599" s="15">
        <v>2462957</v>
      </c>
      <c r="E599" t="str">
        <f>IFERROR(VLOOKUP(C599,'LEAID Match'!$A$2:$B$214,2,FALSE),"")</f>
        <v/>
      </c>
    </row>
    <row r="600" spans="1:5">
      <c r="A600" t="s">
        <v>379</v>
      </c>
      <c r="B600">
        <v>2022</v>
      </c>
      <c r="C600" s="10" t="s">
        <v>349</v>
      </c>
      <c r="D600" s="15">
        <v>5712932</v>
      </c>
      <c r="E600" t="str">
        <f>IFERROR(VLOOKUP(C600,'LEAID Match'!$A$2:$B$214,2,FALSE),"")</f>
        <v/>
      </c>
    </row>
    <row r="601" spans="1:5">
      <c r="A601" t="s">
        <v>379</v>
      </c>
      <c r="B601">
        <v>2015</v>
      </c>
      <c r="C601" s="10" t="s">
        <v>256</v>
      </c>
      <c r="D601" s="15">
        <v>47596.31</v>
      </c>
      <c r="E601" t="str">
        <f>IFERROR(VLOOKUP(C601,'LEAID Match'!$A$2:$B$214,2,FALSE),"")</f>
        <v/>
      </c>
    </row>
    <row r="602" spans="1:5">
      <c r="A602" t="s">
        <v>379</v>
      </c>
      <c r="B602">
        <v>2016</v>
      </c>
      <c r="C602" s="10" t="s">
        <v>256</v>
      </c>
      <c r="D602" s="15">
        <v>40810.44</v>
      </c>
      <c r="E602" t="str">
        <f>IFERROR(VLOOKUP(C602,'LEAID Match'!$A$2:$B$214,2,FALSE),"")</f>
        <v/>
      </c>
    </row>
    <row r="603" spans="1:5">
      <c r="A603" t="s">
        <v>379</v>
      </c>
      <c r="B603">
        <v>2017</v>
      </c>
      <c r="C603" s="10" t="s">
        <v>256</v>
      </c>
      <c r="D603" s="15">
        <v>344158</v>
      </c>
      <c r="E603" t="str">
        <f>IFERROR(VLOOKUP(C603,'LEAID Match'!$A$2:$B$214,2,FALSE),"")</f>
        <v/>
      </c>
    </row>
    <row r="604" spans="1:5">
      <c r="A604" t="s">
        <v>379</v>
      </c>
      <c r="B604">
        <v>2018</v>
      </c>
      <c r="C604" s="10" t="s">
        <v>256</v>
      </c>
      <c r="E604" t="str">
        <f>IFERROR(VLOOKUP(C604,'LEAID Match'!$A$2:$B$214,2,FALSE),"")</f>
        <v/>
      </c>
    </row>
    <row r="605" spans="1:5">
      <c r="A605" t="s">
        <v>379</v>
      </c>
      <c r="B605">
        <v>2019</v>
      </c>
      <c r="C605" s="10" t="s">
        <v>256</v>
      </c>
      <c r="D605" s="15">
        <v>0</v>
      </c>
      <c r="E605" t="str">
        <f>IFERROR(VLOOKUP(C605,'LEAID Match'!$A$2:$B$214,2,FALSE),"")</f>
        <v/>
      </c>
    </row>
    <row r="606" spans="1:5">
      <c r="A606" t="s">
        <v>379</v>
      </c>
      <c r="B606">
        <v>2020</v>
      </c>
      <c r="C606" s="10" t="s">
        <v>256</v>
      </c>
      <c r="D606" s="15">
        <v>0</v>
      </c>
      <c r="E606" t="str">
        <f>IFERROR(VLOOKUP(C606,'LEAID Match'!$A$2:$B$214,2,FALSE),"")</f>
        <v/>
      </c>
    </row>
    <row r="607" spans="1:5">
      <c r="A607" t="s">
        <v>379</v>
      </c>
      <c r="B607">
        <v>2021</v>
      </c>
      <c r="C607" s="10" t="s">
        <v>256</v>
      </c>
      <c r="D607" s="15">
        <v>0</v>
      </c>
      <c r="E607" t="str">
        <f>IFERROR(VLOOKUP(C607,'LEAID Match'!$A$2:$B$214,2,FALSE),"")</f>
        <v/>
      </c>
    </row>
    <row r="608" spans="1:5">
      <c r="A608" t="s">
        <v>379</v>
      </c>
      <c r="B608">
        <v>2015</v>
      </c>
      <c r="C608" s="10" t="s">
        <v>172</v>
      </c>
      <c r="D608" s="15">
        <v>565181.24</v>
      </c>
      <c r="E608" t="str">
        <f>IFERROR(VLOOKUP(C608,'LEAID Match'!$A$2:$B$214,2,FALSE),"")</f>
        <v/>
      </c>
    </row>
    <row r="609" spans="1:5">
      <c r="A609" t="s">
        <v>379</v>
      </c>
      <c r="B609">
        <v>2016</v>
      </c>
      <c r="C609" s="10" t="s">
        <v>172</v>
      </c>
      <c r="D609" s="15">
        <v>528182.81000000006</v>
      </c>
      <c r="E609" t="str">
        <f>IFERROR(VLOOKUP(C609,'LEAID Match'!$A$2:$B$214,2,FALSE),"")</f>
        <v/>
      </c>
    </row>
    <row r="610" spans="1:5">
      <c r="A610" t="s">
        <v>379</v>
      </c>
      <c r="B610">
        <v>2017</v>
      </c>
      <c r="C610" s="10" t="s">
        <v>172</v>
      </c>
      <c r="D610" s="15">
        <v>470311</v>
      </c>
      <c r="E610" t="str">
        <f>IFERROR(VLOOKUP(C610,'LEAID Match'!$A$2:$B$214,2,FALSE),"")</f>
        <v/>
      </c>
    </row>
    <row r="611" spans="1:5">
      <c r="A611" t="s">
        <v>379</v>
      </c>
      <c r="B611">
        <v>2018</v>
      </c>
      <c r="C611" s="10" t="s">
        <v>172</v>
      </c>
      <c r="E611" t="str">
        <f>IFERROR(VLOOKUP(C611,'LEAID Match'!$A$2:$B$214,2,FALSE),"")</f>
        <v/>
      </c>
    </row>
    <row r="612" spans="1:5">
      <c r="A612" t="s">
        <v>379</v>
      </c>
      <c r="B612">
        <v>2019</v>
      </c>
      <c r="C612" s="10" t="s">
        <v>172</v>
      </c>
      <c r="D612" s="15">
        <v>0</v>
      </c>
      <c r="E612" t="str">
        <f>IFERROR(VLOOKUP(C612,'LEAID Match'!$A$2:$B$214,2,FALSE),"")</f>
        <v/>
      </c>
    </row>
    <row r="613" spans="1:5">
      <c r="A613" t="s">
        <v>379</v>
      </c>
      <c r="B613">
        <v>2020</v>
      </c>
      <c r="C613" s="10" t="s">
        <v>172</v>
      </c>
      <c r="D613" s="15">
        <v>0</v>
      </c>
      <c r="E613" t="str">
        <f>IFERROR(VLOOKUP(C613,'LEAID Match'!$A$2:$B$214,2,FALSE),"")</f>
        <v/>
      </c>
    </row>
    <row r="614" spans="1:5">
      <c r="A614" t="s">
        <v>379</v>
      </c>
      <c r="B614">
        <v>2021</v>
      </c>
      <c r="C614" s="10" t="s">
        <v>172</v>
      </c>
      <c r="D614" s="15">
        <v>0</v>
      </c>
      <c r="E614" t="str">
        <f>IFERROR(VLOOKUP(C614,'LEAID Match'!$A$2:$B$214,2,FALSE),"")</f>
        <v/>
      </c>
    </row>
    <row r="615" spans="1:5">
      <c r="A615" t="s">
        <v>379</v>
      </c>
      <c r="B615">
        <v>2015</v>
      </c>
      <c r="C615" s="10" t="s">
        <v>174</v>
      </c>
      <c r="D615" s="15">
        <v>64780.28</v>
      </c>
      <c r="E615" t="str">
        <f>IFERROR(VLOOKUP(C615,'LEAID Match'!$A$2:$B$214,2,FALSE),"")</f>
        <v/>
      </c>
    </row>
    <row r="616" spans="1:5">
      <c r="A616" t="s">
        <v>379</v>
      </c>
      <c r="B616">
        <v>2016</v>
      </c>
      <c r="C616" s="10" t="s">
        <v>174</v>
      </c>
      <c r="D616" s="15">
        <v>63780.09</v>
      </c>
      <c r="E616" t="str">
        <f>IFERROR(VLOOKUP(C616,'LEAID Match'!$A$2:$B$214,2,FALSE),"")</f>
        <v/>
      </c>
    </row>
    <row r="617" spans="1:5">
      <c r="A617" t="s">
        <v>379</v>
      </c>
      <c r="B617">
        <v>2017</v>
      </c>
      <c r="C617" s="10" t="s">
        <v>174</v>
      </c>
      <c r="D617" s="15">
        <v>57175</v>
      </c>
      <c r="E617" t="str">
        <f>IFERROR(VLOOKUP(C617,'LEAID Match'!$A$2:$B$214,2,FALSE),"")</f>
        <v/>
      </c>
    </row>
    <row r="618" spans="1:5">
      <c r="A618" t="s">
        <v>379</v>
      </c>
      <c r="B618">
        <v>2018</v>
      </c>
      <c r="C618" s="10" t="s">
        <v>174</v>
      </c>
      <c r="E618" t="str">
        <f>IFERROR(VLOOKUP(C618,'LEAID Match'!$A$2:$B$214,2,FALSE),"")</f>
        <v/>
      </c>
    </row>
    <row r="619" spans="1:5">
      <c r="A619" t="s">
        <v>379</v>
      </c>
      <c r="B619">
        <v>2019</v>
      </c>
      <c r="C619" s="10" t="s">
        <v>174</v>
      </c>
      <c r="D619" s="15">
        <v>0</v>
      </c>
      <c r="E619" t="str">
        <f>IFERROR(VLOOKUP(C619,'LEAID Match'!$A$2:$B$214,2,FALSE),"")</f>
        <v/>
      </c>
    </row>
    <row r="620" spans="1:5">
      <c r="A620" t="s">
        <v>379</v>
      </c>
      <c r="B620">
        <v>2020</v>
      </c>
      <c r="C620" s="10" t="s">
        <v>174</v>
      </c>
      <c r="D620" s="15">
        <v>0</v>
      </c>
      <c r="E620" t="str">
        <f>IFERROR(VLOOKUP(C620,'LEAID Match'!$A$2:$B$214,2,FALSE),"")</f>
        <v/>
      </c>
    </row>
    <row r="621" spans="1:5">
      <c r="A621" t="s">
        <v>379</v>
      </c>
      <c r="B621">
        <v>2021</v>
      </c>
      <c r="C621" s="10" t="s">
        <v>174</v>
      </c>
      <c r="D621" s="15">
        <v>0</v>
      </c>
      <c r="E621" t="str">
        <f>IFERROR(VLOOKUP(C621,'LEAID Match'!$A$2:$B$214,2,FALSE),"")</f>
        <v/>
      </c>
    </row>
    <row r="622" spans="1:5">
      <c r="A622" t="s">
        <v>379</v>
      </c>
      <c r="B622">
        <v>2019</v>
      </c>
      <c r="C622" s="10" t="s">
        <v>333</v>
      </c>
      <c r="D622" s="15">
        <v>175574</v>
      </c>
      <c r="E622" t="str">
        <f>IFERROR(VLOOKUP(C622,'LEAID Match'!$A$2:$B$214,2,FALSE),"")</f>
        <v/>
      </c>
    </row>
    <row r="623" spans="1:5">
      <c r="A623" t="s">
        <v>379</v>
      </c>
      <c r="B623">
        <v>2020</v>
      </c>
      <c r="C623" s="10" t="s">
        <v>333</v>
      </c>
      <c r="D623" s="15">
        <v>199995</v>
      </c>
      <c r="E623" t="str">
        <f>IFERROR(VLOOKUP(C623,'LEAID Match'!$A$2:$B$214,2,FALSE),"")</f>
        <v/>
      </c>
    </row>
    <row r="624" spans="1:5">
      <c r="A624" t="s">
        <v>379</v>
      </c>
      <c r="B624">
        <v>2021</v>
      </c>
      <c r="C624" s="10" t="s">
        <v>333</v>
      </c>
      <c r="D624" s="15">
        <v>194679</v>
      </c>
      <c r="E624" t="str">
        <f>IFERROR(VLOOKUP(C624,'LEAID Match'!$A$2:$B$214,2,FALSE),"")</f>
        <v/>
      </c>
    </row>
    <row r="625" spans="1:5">
      <c r="A625" t="s">
        <v>379</v>
      </c>
      <c r="B625">
        <v>2022</v>
      </c>
      <c r="C625" s="10" t="s">
        <v>333</v>
      </c>
      <c r="D625" s="15">
        <v>497828</v>
      </c>
      <c r="E625" t="str">
        <f>IFERROR(VLOOKUP(C625,'LEAID Match'!$A$2:$B$214,2,FALSE),"")</f>
        <v/>
      </c>
    </row>
    <row r="626" spans="1:5">
      <c r="A626" t="s">
        <v>379</v>
      </c>
      <c r="B626">
        <v>2020</v>
      </c>
      <c r="C626" s="10" t="s">
        <v>350</v>
      </c>
      <c r="D626" s="15">
        <v>590445</v>
      </c>
      <c r="E626" t="str">
        <f>IFERROR(VLOOKUP(C626,'LEAID Match'!$A$2:$B$214,2,FALSE),"")</f>
        <v/>
      </c>
    </row>
    <row r="627" spans="1:5">
      <c r="A627" t="s">
        <v>379</v>
      </c>
      <c r="B627">
        <v>2021</v>
      </c>
      <c r="C627" s="10" t="s">
        <v>350</v>
      </c>
      <c r="D627" s="15">
        <v>624650</v>
      </c>
      <c r="E627" t="str">
        <f>IFERROR(VLOOKUP(C627,'LEAID Match'!$A$2:$B$214,2,FALSE),"")</f>
        <v/>
      </c>
    </row>
    <row r="628" spans="1:5">
      <c r="A628" t="s">
        <v>379</v>
      </c>
      <c r="B628">
        <v>2022</v>
      </c>
      <c r="C628" s="10" t="s">
        <v>350</v>
      </c>
      <c r="D628" s="15">
        <v>1642414</v>
      </c>
      <c r="E628" t="str">
        <f>IFERROR(VLOOKUP(C628,'LEAID Match'!$A$2:$B$214,2,FALSE),"")</f>
        <v/>
      </c>
    </row>
    <row r="629" spans="1:5">
      <c r="A629" t="s">
        <v>379</v>
      </c>
      <c r="B629">
        <v>2015</v>
      </c>
      <c r="C629" s="10" t="s">
        <v>179</v>
      </c>
      <c r="D629" s="15">
        <v>156771.47</v>
      </c>
      <c r="E629" t="str">
        <f>IFERROR(VLOOKUP(C629,'LEAID Match'!$A$2:$B$214,2,FALSE),"")</f>
        <v/>
      </c>
    </row>
    <row r="630" spans="1:5">
      <c r="A630" t="s">
        <v>379</v>
      </c>
      <c r="B630">
        <v>2016</v>
      </c>
      <c r="C630" s="10" t="s">
        <v>179</v>
      </c>
      <c r="D630" s="15">
        <v>148340.84</v>
      </c>
      <c r="E630" t="str">
        <f>IFERROR(VLOOKUP(C630,'LEAID Match'!$A$2:$B$214,2,FALSE),"")</f>
        <v/>
      </c>
    </row>
    <row r="631" spans="1:5">
      <c r="A631" t="s">
        <v>379</v>
      </c>
      <c r="B631">
        <v>2017</v>
      </c>
      <c r="C631" s="10" t="s">
        <v>179</v>
      </c>
      <c r="D631" s="15">
        <v>170496</v>
      </c>
      <c r="E631" t="str">
        <f>IFERROR(VLOOKUP(C631,'LEAID Match'!$A$2:$B$214,2,FALSE),"")</f>
        <v/>
      </c>
    </row>
    <row r="632" spans="1:5">
      <c r="A632" t="s">
        <v>379</v>
      </c>
      <c r="B632">
        <v>2018</v>
      </c>
      <c r="C632" s="10" t="s">
        <v>179</v>
      </c>
      <c r="E632" t="str">
        <f>IFERROR(VLOOKUP(C632,'LEAID Match'!$A$2:$B$214,2,FALSE),"")</f>
        <v/>
      </c>
    </row>
    <row r="633" spans="1:5">
      <c r="A633" t="s">
        <v>379</v>
      </c>
      <c r="B633">
        <v>2019</v>
      </c>
      <c r="C633" s="10" t="s">
        <v>179</v>
      </c>
      <c r="D633" s="15">
        <v>0</v>
      </c>
      <c r="E633" t="str">
        <f>IFERROR(VLOOKUP(C633,'LEAID Match'!$A$2:$B$214,2,FALSE),"")</f>
        <v/>
      </c>
    </row>
    <row r="634" spans="1:5">
      <c r="A634" t="s">
        <v>379</v>
      </c>
      <c r="B634">
        <v>2020</v>
      </c>
      <c r="C634" s="10" t="s">
        <v>179</v>
      </c>
      <c r="D634" s="15">
        <v>0</v>
      </c>
      <c r="E634" t="str">
        <f>IFERROR(VLOOKUP(C634,'LEAID Match'!$A$2:$B$214,2,FALSE),"")</f>
        <v/>
      </c>
    </row>
    <row r="635" spans="1:5">
      <c r="A635" t="s">
        <v>379</v>
      </c>
      <c r="B635">
        <v>2021</v>
      </c>
      <c r="C635" s="10" t="s">
        <v>179</v>
      </c>
      <c r="D635" s="15">
        <v>0</v>
      </c>
      <c r="E635" t="str">
        <f>IFERROR(VLOOKUP(C635,'LEAID Match'!$A$2:$B$214,2,FALSE),"")</f>
        <v/>
      </c>
    </row>
    <row r="636" spans="1:5">
      <c r="A636" t="s">
        <v>379</v>
      </c>
      <c r="B636">
        <v>2015</v>
      </c>
      <c r="C636" s="10" t="s">
        <v>181</v>
      </c>
      <c r="D636" s="15">
        <v>48407.22</v>
      </c>
      <c r="E636" t="str">
        <f>IFERROR(VLOOKUP(C636,'LEAID Match'!$A$2:$B$214,2,FALSE),"")</f>
        <v/>
      </c>
    </row>
    <row r="637" spans="1:5">
      <c r="A637" t="s">
        <v>379</v>
      </c>
      <c r="B637">
        <v>2016</v>
      </c>
      <c r="C637" s="10" t="s">
        <v>181</v>
      </c>
      <c r="D637" s="15">
        <v>44569.440000000002</v>
      </c>
      <c r="E637" t="str">
        <f>IFERROR(VLOOKUP(C637,'LEAID Match'!$A$2:$B$214,2,FALSE),"")</f>
        <v/>
      </c>
    </row>
    <row r="638" spans="1:5">
      <c r="A638" t="s">
        <v>379</v>
      </c>
      <c r="B638">
        <v>2017</v>
      </c>
      <c r="C638" s="10" t="s">
        <v>181</v>
      </c>
      <c r="D638" s="15">
        <v>50512</v>
      </c>
      <c r="E638" t="str">
        <f>IFERROR(VLOOKUP(C638,'LEAID Match'!$A$2:$B$214,2,FALSE),"")</f>
        <v/>
      </c>
    </row>
    <row r="639" spans="1:5">
      <c r="A639" t="s">
        <v>379</v>
      </c>
      <c r="B639">
        <v>2018</v>
      </c>
      <c r="C639" s="10" t="s">
        <v>181</v>
      </c>
      <c r="E639" t="str">
        <f>IFERROR(VLOOKUP(C639,'LEAID Match'!$A$2:$B$214,2,FALSE),"")</f>
        <v/>
      </c>
    </row>
    <row r="640" spans="1:5">
      <c r="A640" t="s">
        <v>379</v>
      </c>
      <c r="B640">
        <v>2019</v>
      </c>
      <c r="C640" s="10" t="s">
        <v>181</v>
      </c>
      <c r="D640" s="15">
        <v>0</v>
      </c>
      <c r="E640" t="str">
        <f>IFERROR(VLOOKUP(C640,'LEAID Match'!$A$2:$B$214,2,FALSE),"")</f>
        <v/>
      </c>
    </row>
    <row r="641" spans="1:5">
      <c r="A641" t="s">
        <v>379</v>
      </c>
      <c r="B641">
        <v>2020</v>
      </c>
      <c r="C641" s="10" t="s">
        <v>181</v>
      </c>
      <c r="D641" s="15">
        <v>0</v>
      </c>
      <c r="E641" t="str">
        <f>IFERROR(VLOOKUP(C641,'LEAID Match'!$A$2:$B$214,2,FALSE),"")</f>
        <v/>
      </c>
    </row>
    <row r="642" spans="1:5">
      <c r="A642" t="s">
        <v>379</v>
      </c>
      <c r="B642">
        <v>2021</v>
      </c>
      <c r="C642" s="10" t="s">
        <v>181</v>
      </c>
      <c r="D642" s="15">
        <v>0</v>
      </c>
      <c r="E642" t="str">
        <f>IFERROR(VLOOKUP(C642,'LEAID Match'!$A$2:$B$214,2,FALSE),"")</f>
        <v/>
      </c>
    </row>
    <row r="643" spans="1:5">
      <c r="A643" t="s">
        <v>379</v>
      </c>
      <c r="B643">
        <v>2015</v>
      </c>
      <c r="C643" s="10" t="s">
        <v>287</v>
      </c>
      <c r="D643" s="15">
        <v>248003.9</v>
      </c>
      <c r="E643" t="str">
        <f>IFERROR(VLOOKUP(C643,'LEAID Match'!$A$2:$B$214,2,FALSE),"")</f>
        <v/>
      </c>
    </row>
    <row r="644" spans="1:5">
      <c r="A644" t="s">
        <v>379</v>
      </c>
      <c r="B644">
        <v>2016</v>
      </c>
      <c r="C644" s="10" t="s">
        <v>287</v>
      </c>
      <c r="D644" s="15">
        <v>26110.51</v>
      </c>
      <c r="E644" t="str">
        <f>IFERROR(VLOOKUP(C644,'LEAID Match'!$A$2:$B$214,2,FALSE),"")</f>
        <v/>
      </c>
    </row>
    <row r="645" spans="1:5">
      <c r="A645" t="s">
        <v>379</v>
      </c>
      <c r="B645">
        <v>2017</v>
      </c>
      <c r="C645" s="10" t="s">
        <v>287</v>
      </c>
      <c r="E645" t="str">
        <f>IFERROR(VLOOKUP(C645,'LEAID Match'!$A$2:$B$214,2,FALSE),"")</f>
        <v/>
      </c>
    </row>
    <row r="646" spans="1:5">
      <c r="A646" t="s">
        <v>379</v>
      </c>
      <c r="B646">
        <v>2018</v>
      </c>
      <c r="C646" s="10" t="s">
        <v>287</v>
      </c>
      <c r="E646" t="str">
        <f>IFERROR(VLOOKUP(C646,'LEAID Match'!$A$2:$B$214,2,FALSE),"")</f>
        <v/>
      </c>
    </row>
    <row r="647" spans="1:5">
      <c r="A647" t="s">
        <v>379</v>
      </c>
      <c r="B647">
        <v>2019</v>
      </c>
      <c r="C647" s="10" t="s">
        <v>287</v>
      </c>
      <c r="D647" s="15">
        <v>0</v>
      </c>
      <c r="E647" t="str">
        <f>IFERROR(VLOOKUP(C647,'LEAID Match'!$A$2:$B$214,2,FALSE),"")</f>
        <v/>
      </c>
    </row>
    <row r="648" spans="1:5">
      <c r="A648" t="s">
        <v>379</v>
      </c>
      <c r="B648">
        <v>2020</v>
      </c>
      <c r="C648" s="10" t="s">
        <v>287</v>
      </c>
      <c r="D648" s="15">
        <v>0</v>
      </c>
      <c r="E648" t="str">
        <f>IFERROR(VLOOKUP(C648,'LEAID Match'!$A$2:$B$214,2,FALSE),"")</f>
        <v/>
      </c>
    </row>
    <row r="649" spans="1:5">
      <c r="A649" t="s">
        <v>379</v>
      </c>
      <c r="B649">
        <v>2019</v>
      </c>
      <c r="C649" s="10" t="s">
        <v>334</v>
      </c>
      <c r="D649" s="15">
        <v>681278</v>
      </c>
      <c r="E649" t="str">
        <f>IFERROR(VLOOKUP(C649,'LEAID Match'!$A$2:$B$214,2,FALSE),"")</f>
        <v/>
      </c>
    </row>
    <row r="650" spans="1:5">
      <c r="A650" t="s">
        <v>379</v>
      </c>
      <c r="B650">
        <v>2020</v>
      </c>
      <c r="C650" s="10" t="s">
        <v>334</v>
      </c>
      <c r="D650" s="15">
        <v>736362</v>
      </c>
      <c r="E650" t="str">
        <f>IFERROR(VLOOKUP(C650,'LEAID Match'!$A$2:$B$214,2,FALSE),"")</f>
        <v/>
      </c>
    </row>
    <row r="651" spans="1:5">
      <c r="A651" t="s">
        <v>379</v>
      </c>
      <c r="B651">
        <v>2021</v>
      </c>
      <c r="C651" s="10" t="s">
        <v>334</v>
      </c>
      <c r="D651" s="15">
        <v>729445</v>
      </c>
      <c r="E651" t="str">
        <f>IFERROR(VLOOKUP(C651,'LEAID Match'!$A$2:$B$214,2,FALSE),"")</f>
        <v/>
      </c>
    </row>
    <row r="652" spans="1:5">
      <c r="A652" t="s">
        <v>379</v>
      </c>
      <c r="B652">
        <v>2022</v>
      </c>
      <c r="C652" s="10" t="s">
        <v>334</v>
      </c>
      <c r="D652" s="15">
        <v>1732522</v>
      </c>
      <c r="E652" t="str">
        <f>IFERROR(VLOOKUP(C652,'LEAID Match'!$A$2:$B$214,2,FALSE),"")</f>
        <v/>
      </c>
    </row>
    <row r="653" spans="1:5">
      <c r="A653" t="s">
        <v>379</v>
      </c>
      <c r="B653">
        <v>2017</v>
      </c>
      <c r="C653" s="10" t="s">
        <v>305</v>
      </c>
      <c r="D653" s="15">
        <v>192191</v>
      </c>
      <c r="E653" t="str">
        <f>IFERROR(VLOOKUP(C653,'LEAID Match'!$A$2:$B$214,2,FALSE),"")</f>
        <v/>
      </c>
    </row>
    <row r="654" spans="1:5">
      <c r="A654" t="s">
        <v>379</v>
      </c>
      <c r="B654">
        <v>2018</v>
      </c>
      <c r="C654" s="10" t="s">
        <v>305</v>
      </c>
      <c r="D654" s="15">
        <v>268137</v>
      </c>
      <c r="E654" t="str">
        <f>IFERROR(VLOOKUP(C654,'LEAID Match'!$A$2:$B$214,2,FALSE),"")</f>
        <v/>
      </c>
    </row>
    <row r="655" spans="1:5">
      <c r="A655" t="s">
        <v>379</v>
      </c>
      <c r="B655">
        <v>2019</v>
      </c>
      <c r="C655" s="10" t="s">
        <v>305</v>
      </c>
      <c r="D655" s="15">
        <v>336374</v>
      </c>
      <c r="E655" t="str">
        <f>IFERROR(VLOOKUP(C655,'LEAID Match'!$A$2:$B$214,2,FALSE),"")</f>
        <v/>
      </c>
    </row>
    <row r="656" spans="1:5">
      <c r="A656" t="s">
        <v>379</v>
      </c>
      <c r="B656">
        <v>2020</v>
      </c>
      <c r="C656" s="10" t="s">
        <v>305</v>
      </c>
      <c r="D656" s="15">
        <v>376192</v>
      </c>
      <c r="E656" t="str">
        <f>IFERROR(VLOOKUP(C656,'LEAID Match'!$A$2:$B$214,2,FALSE),"")</f>
        <v/>
      </c>
    </row>
    <row r="657" spans="1:5">
      <c r="A657" t="s">
        <v>379</v>
      </c>
      <c r="B657">
        <v>2021</v>
      </c>
      <c r="C657" s="10" t="s">
        <v>305</v>
      </c>
      <c r="D657" s="15">
        <v>343480</v>
      </c>
      <c r="E657" t="str">
        <f>IFERROR(VLOOKUP(C657,'LEAID Match'!$A$2:$B$214,2,FALSE),"")</f>
        <v/>
      </c>
    </row>
    <row r="658" spans="1:5">
      <c r="A658" t="s">
        <v>379</v>
      </c>
      <c r="B658">
        <v>2022</v>
      </c>
      <c r="C658" s="10" t="s">
        <v>305</v>
      </c>
      <c r="D658" s="15">
        <v>733721</v>
      </c>
      <c r="E658" t="str">
        <f>IFERROR(VLOOKUP(C658,'LEAID Match'!$A$2:$B$214,2,FALSE),"")</f>
        <v/>
      </c>
    </row>
    <row r="659" spans="1:5">
      <c r="A659" t="s">
        <v>379</v>
      </c>
      <c r="B659">
        <v>2015</v>
      </c>
      <c r="C659" s="10" t="s">
        <v>182</v>
      </c>
      <c r="D659" s="15">
        <v>21645.63</v>
      </c>
      <c r="E659" t="str">
        <f>IFERROR(VLOOKUP(C659,'LEAID Match'!$A$2:$B$214,2,FALSE),"")</f>
        <v/>
      </c>
    </row>
    <row r="660" spans="1:5">
      <c r="A660" t="s">
        <v>379</v>
      </c>
      <c r="B660">
        <v>2016</v>
      </c>
      <c r="C660" s="10" t="s">
        <v>182</v>
      </c>
      <c r="D660" s="15">
        <v>22469.15</v>
      </c>
      <c r="E660" t="str">
        <f>IFERROR(VLOOKUP(C660,'LEAID Match'!$A$2:$B$214,2,FALSE),"")</f>
        <v/>
      </c>
    </row>
    <row r="661" spans="1:5">
      <c r="A661" t="s">
        <v>379</v>
      </c>
      <c r="B661">
        <v>2017</v>
      </c>
      <c r="C661" s="10" t="s">
        <v>182</v>
      </c>
      <c r="E661" t="str">
        <f>IFERROR(VLOOKUP(C661,'LEAID Match'!$A$2:$B$214,2,FALSE),"")</f>
        <v/>
      </c>
    </row>
    <row r="662" spans="1:5">
      <c r="A662" t="s">
        <v>379</v>
      </c>
      <c r="B662">
        <v>2018</v>
      </c>
      <c r="C662" s="10" t="s">
        <v>182</v>
      </c>
      <c r="E662" t="str">
        <f>IFERROR(VLOOKUP(C662,'LEAID Match'!$A$2:$B$214,2,FALSE),"")</f>
        <v/>
      </c>
    </row>
    <row r="663" spans="1:5">
      <c r="A663" t="s">
        <v>379</v>
      </c>
      <c r="B663">
        <v>2019</v>
      </c>
      <c r="C663" s="10" t="s">
        <v>182</v>
      </c>
      <c r="D663" s="15">
        <v>0</v>
      </c>
      <c r="E663" t="str">
        <f>IFERROR(VLOOKUP(C663,'LEAID Match'!$A$2:$B$214,2,FALSE),"")</f>
        <v/>
      </c>
    </row>
    <row r="664" spans="1:5">
      <c r="A664" t="s">
        <v>379</v>
      </c>
      <c r="B664">
        <v>2020</v>
      </c>
      <c r="C664" s="10" t="s">
        <v>182</v>
      </c>
      <c r="D664" s="15">
        <v>0</v>
      </c>
      <c r="E664" t="str">
        <f>IFERROR(VLOOKUP(C664,'LEAID Match'!$A$2:$B$214,2,FALSE),"")</f>
        <v/>
      </c>
    </row>
    <row r="665" spans="1:5">
      <c r="A665" t="s">
        <v>379</v>
      </c>
      <c r="B665">
        <v>2015</v>
      </c>
      <c r="C665" s="10" t="s">
        <v>183</v>
      </c>
      <c r="D665" s="15">
        <v>50514.32</v>
      </c>
      <c r="E665" t="str">
        <f>IFERROR(VLOOKUP(C665,'LEAID Match'!$A$2:$B$214,2,FALSE),"")</f>
        <v/>
      </c>
    </row>
    <row r="666" spans="1:5">
      <c r="A666" t="s">
        <v>379</v>
      </c>
      <c r="B666">
        <v>2016</v>
      </c>
      <c r="C666" s="10" t="s">
        <v>183</v>
      </c>
      <c r="D666" s="15">
        <v>4389</v>
      </c>
      <c r="E666" t="str">
        <f>IFERROR(VLOOKUP(C666,'LEAID Match'!$A$2:$B$214,2,FALSE),"")</f>
        <v/>
      </c>
    </row>
    <row r="667" spans="1:5">
      <c r="A667" t="s">
        <v>379</v>
      </c>
      <c r="B667">
        <v>2017</v>
      </c>
      <c r="C667" s="10" t="s">
        <v>183</v>
      </c>
      <c r="E667" t="str">
        <f>IFERROR(VLOOKUP(C667,'LEAID Match'!$A$2:$B$214,2,FALSE),"")</f>
        <v/>
      </c>
    </row>
    <row r="668" spans="1:5">
      <c r="A668" t="s">
        <v>379</v>
      </c>
      <c r="B668">
        <v>2018</v>
      </c>
      <c r="C668" s="10" t="s">
        <v>183</v>
      </c>
      <c r="E668" t="str">
        <f>IFERROR(VLOOKUP(C668,'LEAID Match'!$A$2:$B$214,2,FALSE),"")</f>
        <v/>
      </c>
    </row>
    <row r="669" spans="1:5">
      <c r="A669" t="s">
        <v>379</v>
      </c>
      <c r="B669">
        <v>2019</v>
      </c>
      <c r="C669" s="10" t="s">
        <v>183</v>
      </c>
      <c r="D669" s="15">
        <v>0</v>
      </c>
      <c r="E669" t="str">
        <f>IFERROR(VLOOKUP(C669,'LEAID Match'!$A$2:$B$214,2,FALSE),"")</f>
        <v/>
      </c>
    </row>
    <row r="670" spans="1:5">
      <c r="A670" t="s">
        <v>379</v>
      </c>
      <c r="B670">
        <v>2020</v>
      </c>
      <c r="C670" s="10" t="s">
        <v>183</v>
      </c>
      <c r="D670" s="15">
        <v>0</v>
      </c>
      <c r="E670" t="str">
        <f>IFERROR(VLOOKUP(C670,'LEAID Match'!$A$2:$B$214,2,FALSE),"")</f>
        <v/>
      </c>
    </row>
    <row r="671" spans="1:5">
      <c r="A671" t="s">
        <v>379</v>
      </c>
      <c r="B671">
        <v>2022</v>
      </c>
      <c r="C671" s="10" t="s">
        <v>183</v>
      </c>
      <c r="D671" s="15">
        <v>6971</v>
      </c>
      <c r="E671" t="str">
        <f>IFERROR(VLOOKUP(C671,'LEAID Match'!$A$2:$B$214,2,FALSE),"")</f>
        <v/>
      </c>
    </row>
    <row r="672" spans="1:5">
      <c r="A672" t="s">
        <v>379</v>
      </c>
      <c r="B672">
        <v>2015</v>
      </c>
      <c r="C672" s="10" t="s">
        <v>186</v>
      </c>
      <c r="D672" s="15">
        <v>700088.62</v>
      </c>
      <c r="E672" t="str">
        <f>IFERROR(VLOOKUP(C672,'LEAID Match'!$A$2:$B$214,2,FALSE),"")</f>
        <v/>
      </c>
    </row>
    <row r="673" spans="1:5">
      <c r="A673" t="s">
        <v>379</v>
      </c>
      <c r="B673">
        <v>2016</v>
      </c>
      <c r="C673" s="10" t="s">
        <v>186</v>
      </c>
      <c r="D673" s="15">
        <v>682540.38</v>
      </c>
      <c r="E673" t="str">
        <f>IFERROR(VLOOKUP(C673,'LEAID Match'!$A$2:$B$214,2,FALSE),"")</f>
        <v/>
      </c>
    </row>
    <row r="674" spans="1:5">
      <c r="A674" t="s">
        <v>379</v>
      </c>
      <c r="B674">
        <v>2017</v>
      </c>
      <c r="C674" s="10" t="s">
        <v>186</v>
      </c>
      <c r="D674" s="15">
        <v>732620</v>
      </c>
      <c r="E674" t="str">
        <f>IFERROR(VLOOKUP(C674,'LEAID Match'!$A$2:$B$214,2,FALSE),"")</f>
        <v/>
      </c>
    </row>
    <row r="675" spans="1:5">
      <c r="A675" t="s">
        <v>379</v>
      </c>
      <c r="B675">
        <v>2018</v>
      </c>
      <c r="C675" s="10" t="s">
        <v>186</v>
      </c>
      <c r="E675" t="str">
        <f>IFERROR(VLOOKUP(C675,'LEAID Match'!$A$2:$B$214,2,FALSE),"")</f>
        <v/>
      </c>
    </row>
    <row r="676" spans="1:5">
      <c r="A676" t="s">
        <v>379</v>
      </c>
      <c r="B676">
        <v>2019</v>
      </c>
      <c r="C676" s="10" t="s">
        <v>186</v>
      </c>
      <c r="D676" s="15">
        <v>0</v>
      </c>
      <c r="E676" t="str">
        <f>IFERROR(VLOOKUP(C676,'LEAID Match'!$A$2:$B$214,2,FALSE),"")</f>
        <v/>
      </c>
    </row>
    <row r="677" spans="1:5">
      <c r="A677" t="s">
        <v>379</v>
      </c>
      <c r="B677">
        <v>2020</v>
      </c>
      <c r="C677" s="10" t="s">
        <v>186</v>
      </c>
      <c r="D677" s="15">
        <v>0</v>
      </c>
      <c r="E677" t="str">
        <f>IFERROR(VLOOKUP(C677,'LEAID Match'!$A$2:$B$214,2,FALSE),"")</f>
        <v/>
      </c>
    </row>
    <row r="678" spans="1:5">
      <c r="A678" t="s">
        <v>379</v>
      </c>
      <c r="B678">
        <v>2021</v>
      </c>
      <c r="C678" s="10" t="s">
        <v>186</v>
      </c>
      <c r="D678" s="15">
        <v>0</v>
      </c>
      <c r="E678" t="str">
        <f>IFERROR(VLOOKUP(C678,'LEAID Match'!$A$2:$B$214,2,FALSE),"")</f>
        <v/>
      </c>
    </row>
    <row r="679" spans="1:5">
      <c r="A679" t="s">
        <v>379</v>
      </c>
      <c r="B679">
        <v>2015</v>
      </c>
      <c r="C679" s="10" t="s">
        <v>187</v>
      </c>
      <c r="D679" s="15">
        <v>105354.46</v>
      </c>
      <c r="E679" t="str">
        <f>IFERROR(VLOOKUP(C679,'LEAID Match'!$A$2:$B$214,2,FALSE),"")</f>
        <v/>
      </c>
    </row>
    <row r="680" spans="1:5">
      <c r="A680" t="s">
        <v>379</v>
      </c>
      <c r="B680">
        <v>2016</v>
      </c>
      <c r="C680" s="10" t="s">
        <v>187</v>
      </c>
      <c r="D680" s="15">
        <v>7764.17</v>
      </c>
      <c r="E680" t="str">
        <f>IFERROR(VLOOKUP(C680,'LEAID Match'!$A$2:$B$214,2,FALSE),"")</f>
        <v/>
      </c>
    </row>
    <row r="681" spans="1:5">
      <c r="A681" t="s">
        <v>379</v>
      </c>
      <c r="B681">
        <v>2017</v>
      </c>
      <c r="C681" s="10" t="s">
        <v>187</v>
      </c>
      <c r="E681" t="str">
        <f>IFERROR(VLOOKUP(C681,'LEAID Match'!$A$2:$B$214,2,FALSE),"")</f>
        <v/>
      </c>
    </row>
    <row r="682" spans="1:5">
      <c r="A682" t="s">
        <v>379</v>
      </c>
      <c r="B682">
        <v>2018</v>
      </c>
      <c r="C682" s="10" t="s">
        <v>187</v>
      </c>
      <c r="E682" t="str">
        <f>IFERROR(VLOOKUP(C682,'LEAID Match'!$A$2:$B$214,2,FALSE),"")</f>
        <v/>
      </c>
    </row>
    <row r="683" spans="1:5">
      <c r="A683" t="s">
        <v>379</v>
      </c>
      <c r="B683">
        <v>2019</v>
      </c>
      <c r="C683" s="10" t="s">
        <v>187</v>
      </c>
      <c r="D683" s="15">
        <v>0</v>
      </c>
      <c r="E683" t="str">
        <f>IFERROR(VLOOKUP(C683,'LEAID Match'!$A$2:$B$214,2,FALSE),"")</f>
        <v/>
      </c>
    </row>
    <row r="684" spans="1:5">
      <c r="A684" t="s">
        <v>379</v>
      </c>
      <c r="B684">
        <v>2020</v>
      </c>
      <c r="C684" s="10" t="s">
        <v>187</v>
      </c>
      <c r="D684" s="15">
        <v>0</v>
      </c>
      <c r="E684" t="str">
        <f>IFERROR(VLOOKUP(C684,'LEAID Match'!$A$2:$B$214,2,FALSE),"")</f>
        <v/>
      </c>
    </row>
    <row r="685" spans="1:5">
      <c r="A685" t="s">
        <v>379</v>
      </c>
      <c r="B685">
        <v>2020</v>
      </c>
      <c r="C685" s="10" t="s">
        <v>351</v>
      </c>
      <c r="D685" s="15">
        <v>278981</v>
      </c>
      <c r="E685" t="str">
        <f>IFERROR(VLOOKUP(C685,'LEAID Match'!$A$2:$B$214,2,FALSE),"")</f>
        <v/>
      </c>
    </row>
    <row r="686" spans="1:5">
      <c r="A686" t="s">
        <v>379</v>
      </c>
      <c r="B686">
        <v>2021</v>
      </c>
      <c r="C686" s="10" t="s">
        <v>351</v>
      </c>
      <c r="D686" s="15">
        <v>259515</v>
      </c>
      <c r="E686" t="str">
        <f>IFERROR(VLOOKUP(C686,'LEAID Match'!$A$2:$B$214,2,FALSE),"")</f>
        <v/>
      </c>
    </row>
    <row r="687" spans="1:5">
      <c r="A687" t="s">
        <v>379</v>
      </c>
      <c r="B687">
        <v>2022</v>
      </c>
      <c r="C687" s="10" t="s">
        <v>351</v>
      </c>
      <c r="D687" s="15">
        <v>698339</v>
      </c>
      <c r="E687" t="str">
        <f>IFERROR(VLOOKUP(C687,'LEAID Match'!$A$2:$B$214,2,FALSE),"")</f>
        <v/>
      </c>
    </row>
    <row r="688" spans="1:5">
      <c r="A688" t="s">
        <v>379</v>
      </c>
      <c r="B688">
        <v>2020</v>
      </c>
      <c r="C688" s="10" t="s">
        <v>352</v>
      </c>
      <c r="D688" s="15">
        <v>2701011</v>
      </c>
      <c r="E688" t="str">
        <f>IFERROR(VLOOKUP(C688,'LEAID Match'!$A$2:$B$214,2,FALSE),"")</f>
        <v/>
      </c>
    </row>
    <row r="689" spans="1:5">
      <c r="A689" t="s">
        <v>379</v>
      </c>
      <c r="B689">
        <v>2021</v>
      </c>
      <c r="C689" s="10" t="s">
        <v>352</v>
      </c>
      <c r="D689" s="15">
        <v>2814728</v>
      </c>
      <c r="E689" t="str">
        <f>IFERROR(VLOOKUP(C689,'LEAID Match'!$A$2:$B$214,2,FALSE),"")</f>
        <v/>
      </c>
    </row>
    <row r="690" spans="1:5">
      <c r="A690" t="s">
        <v>379</v>
      </c>
      <c r="B690">
        <v>2022</v>
      </c>
      <c r="C690" s="10" t="s">
        <v>352</v>
      </c>
      <c r="D690" s="15">
        <v>7329996</v>
      </c>
      <c r="E690" t="str">
        <f>IFERROR(VLOOKUP(C690,'LEAID Match'!$A$2:$B$214,2,FALSE),"")</f>
        <v/>
      </c>
    </row>
    <row r="691" spans="1:5">
      <c r="A691" t="s">
        <v>379</v>
      </c>
      <c r="B691">
        <v>2019</v>
      </c>
      <c r="C691" s="10" t="s">
        <v>335</v>
      </c>
      <c r="D691" s="15">
        <v>1068566</v>
      </c>
      <c r="E691" t="str">
        <f>IFERROR(VLOOKUP(C691,'LEAID Match'!$A$2:$B$214,2,FALSE),"")</f>
        <v/>
      </c>
    </row>
    <row r="692" spans="1:5">
      <c r="A692" t="s">
        <v>379</v>
      </c>
      <c r="B692">
        <v>2020</v>
      </c>
      <c r="C692" s="10" t="s">
        <v>335</v>
      </c>
      <c r="D692" s="15">
        <v>1030362</v>
      </c>
      <c r="E692" t="str">
        <f>IFERROR(VLOOKUP(C692,'LEAID Match'!$A$2:$B$214,2,FALSE),"")</f>
        <v/>
      </c>
    </row>
    <row r="693" spans="1:5">
      <c r="A693" t="s">
        <v>379</v>
      </c>
      <c r="B693">
        <v>2021</v>
      </c>
      <c r="C693" s="10" t="s">
        <v>335</v>
      </c>
      <c r="D693" s="15">
        <v>1166126</v>
      </c>
      <c r="E693" t="str">
        <f>IFERROR(VLOOKUP(C693,'LEAID Match'!$A$2:$B$214,2,FALSE),"")</f>
        <v/>
      </c>
    </row>
    <row r="694" spans="1:5">
      <c r="A694" t="s">
        <v>379</v>
      </c>
      <c r="B694">
        <v>2022</v>
      </c>
      <c r="C694" s="10" t="s">
        <v>335</v>
      </c>
      <c r="D694" s="15">
        <v>2937649</v>
      </c>
      <c r="E694" t="str">
        <f>IFERROR(VLOOKUP(C694,'LEAID Match'!$A$2:$B$214,2,FALSE),"")</f>
        <v/>
      </c>
    </row>
    <row r="695" spans="1:5">
      <c r="A695" t="s">
        <v>379</v>
      </c>
      <c r="B695">
        <v>2015</v>
      </c>
      <c r="C695" s="10" t="s">
        <v>238</v>
      </c>
      <c r="D695" s="15">
        <v>99278.56</v>
      </c>
      <c r="E695" t="str">
        <f>IFERROR(VLOOKUP(C695,'LEAID Match'!$A$2:$B$214,2,FALSE),"")</f>
        <v/>
      </c>
    </row>
    <row r="696" spans="1:5">
      <c r="A696" t="s">
        <v>379</v>
      </c>
      <c r="B696">
        <v>2016</v>
      </c>
      <c r="C696" s="10" t="s">
        <v>238</v>
      </c>
      <c r="D696" s="15">
        <v>73015.360000000001</v>
      </c>
      <c r="E696" t="str">
        <f>IFERROR(VLOOKUP(C696,'LEAID Match'!$A$2:$B$214,2,FALSE),"")</f>
        <v/>
      </c>
    </row>
    <row r="697" spans="1:5">
      <c r="A697" t="s">
        <v>379</v>
      </c>
      <c r="B697">
        <v>2017</v>
      </c>
      <c r="C697" s="10" t="s">
        <v>238</v>
      </c>
      <c r="E697" t="str">
        <f>IFERROR(VLOOKUP(C697,'LEAID Match'!$A$2:$B$214,2,FALSE),"")</f>
        <v/>
      </c>
    </row>
    <row r="698" spans="1:5">
      <c r="A698" t="s">
        <v>379</v>
      </c>
      <c r="B698">
        <v>2018</v>
      </c>
      <c r="C698" s="10" t="s">
        <v>238</v>
      </c>
      <c r="E698" t="str">
        <f>IFERROR(VLOOKUP(C698,'LEAID Match'!$A$2:$B$214,2,FALSE),"")</f>
        <v/>
      </c>
    </row>
    <row r="699" spans="1:5">
      <c r="A699" t="s">
        <v>379</v>
      </c>
      <c r="B699">
        <v>2019</v>
      </c>
      <c r="C699" s="10" t="s">
        <v>238</v>
      </c>
      <c r="D699" s="15">
        <v>0</v>
      </c>
      <c r="E699" t="str">
        <f>IFERROR(VLOOKUP(C699,'LEAID Match'!$A$2:$B$214,2,FALSE),"")</f>
        <v/>
      </c>
    </row>
    <row r="700" spans="1:5">
      <c r="A700" t="s">
        <v>379</v>
      </c>
      <c r="B700">
        <v>2020</v>
      </c>
      <c r="C700" s="10" t="s">
        <v>238</v>
      </c>
      <c r="D700" s="15">
        <v>0</v>
      </c>
      <c r="E700" t="str">
        <f>IFERROR(VLOOKUP(C700,'LEAID Match'!$A$2:$B$214,2,FALSE),"")</f>
        <v/>
      </c>
    </row>
    <row r="701" spans="1:5">
      <c r="A701" t="s">
        <v>379</v>
      </c>
      <c r="B701">
        <v>2015</v>
      </c>
      <c r="C701" s="10" t="s">
        <v>214</v>
      </c>
      <c r="E701" t="str">
        <f>IFERROR(VLOOKUP(C701,'LEAID Match'!$A$2:$B$214,2,FALSE),"")</f>
        <v/>
      </c>
    </row>
    <row r="702" spans="1:5">
      <c r="A702" t="s">
        <v>379</v>
      </c>
      <c r="B702">
        <v>2016</v>
      </c>
      <c r="C702" s="10" t="s">
        <v>214</v>
      </c>
      <c r="E702" t="str">
        <f>IFERROR(VLOOKUP(C702,'LEAID Match'!$A$2:$B$214,2,FALSE),"")</f>
        <v/>
      </c>
    </row>
    <row r="703" spans="1:5">
      <c r="A703" t="s">
        <v>379</v>
      </c>
      <c r="B703">
        <v>2017</v>
      </c>
      <c r="C703" s="10" t="s">
        <v>214</v>
      </c>
      <c r="E703" t="str">
        <f>IFERROR(VLOOKUP(C703,'LEAID Match'!$A$2:$B$214,2,FALSE),"")</f>
        <v/>
      </c>
    </row>
    <row r="704" spans="1:5">
      <c r="A704" t="s">
        <v>379</v>
      </c>
      <c r="B704">
        <v>2018</v>
      </c>
      <c r="C704" s="10" t="s">
        <v>214</v>
      </c>
      <c r="E704" t="str">
        <f>IFERROR(VLOOKUP(C704,'LEAID Match'!$A$2:$B$214,2,FALSE),"")</f>
        <v/>
      </c>
    </row>
    <row r="705" spans="1:6">
      <c r="A705">
        <v>5099952</v>
      </c>
      <c r="B705">
        <v>2015</v>
      </c>
      <c r="C705" s="10" t="s">
        <v>260</v>
      </c>
      <c r="D705" s="15">
        <v>140959.89000000001</v>
      </c>
      <c r="E705">
        <f>IFERROR(VLOOKUP(C705,'LEAID Match'!$A$2:$B$214,2,FALSE),"")</f>
        <v>5099952</v>
      </c>
      <c r="F705">
        <f>COUNTIF($A$705:$A$2272,A705)</f>
        <v>8</v>
      </c>
    </row>
    <row r="706" spans="1:6">
      <c r="A706">
        <v>5099952</v>
      </c>
      <c r="B706">
        <v>2016</v>
      </c>
      <c r="C706" s="10" t="s">
        <v>260</v>
      </c>
      <c r="D706" s="15">
        <v>157234.69</v>
      </c>
      <c r="E706">
        <f>IFERROR(VLOOKUP(C706,'LEAID Match'!$A$2:$B$214,2,FALSE),"")</f>
        <v>5099952</v>
      </c>
      <c r="F706">
        <f t="shared" ref="F706:F769" si="0">COUNTIF($A$705:$A$2272,A706)</f>
        <v>8</v>
      </c>
    </row>
    <row r="707" spans="1:6">
      <c r="A707">
        <v>5099952</v>
      </c>
      <c r="B707">
        <v>2017</v>
      </c>
      <c r="C707" s="10" t="s">
        <v>260</v>
      </c>
      <c r="D707" s="15">
        <v>171212</v>
      </c>
      <c r="E707">
        <f>IFERROR(VLOOKUP(C707,'LEAID Match'!$A$2:$B$214,2,FALSE),"")</f>
        <v>5099952</v>
      </c>
      <c r="F707">
        <f t="shared" si="0"/>
        <v>8</v>
      </c>
    </row>
    <row r="708" spans="1:6">
      <c r="A708">
        <v>5099952</v>
      </c>
      <c r="B708">
        <v>2018</v>
      </c>
      <c r="C708" s="10" t="s">
        <v>260</v>
      </c>
      <c r="D708" s="15">
        <v>235973</v>
      </c>
      <c r="E708">
        <f>IFERROR(VLOOKUP(C708,'LEAID Match'!$A$2:$B$214,2,FALSE),"")</f>
        <v>5099952</v>
      </c>
      <c r="F708">
        <f t="shared" si="0"/>
        <v>8</v>
      </c>
    </row>
    <row r="709" spans="1:6">
      <c r="A709">
        <v>5099952</v>
      </c>
      <c r="B709">
        <v>2019</v>
      </c>
      <c r="C709" s="10" t="s">
        <v>260</v>
      </c>
      <c r="D709" s="15">
        <v>305898</v>
      </c>
      <c r="E709">
        <f>IFERROR(VLOOKUP(C709,'LEAID Match'!$A$2:$B$214,2,FALSE),"")</f>
        <v>5099952</v>
      </c>
      <c r="F709">
        <f t="shared" si="0"/>
        <v>8</v>
      </c>
    </row>
    <row r="710" spans="1:6">
      <c r="A710">
        <v>5099952</v>
      </c>
      <c r="B710">
        <v>2020</v>
      </c>
      <c r="C710" s="10" t="s">
        <v>260</v>
      </c>
      <c r="D710" s="15">
        <v>321954</v>
      </c>
      <c r="E710">
        <f>IFERROR(VLOOKUP(C710,'LEAID Match'!$A$2:$B$214,2,FALSE),"")</f>
        <v>5099952</v>
      </c>
      <c r="F710">
        <f t="shared" si="0"/>
        <v>8</v>
      </c>
    </row>
    <row r="711" spans="1:6">
      <c r="A711">
        <v>5099952</v>
      </c>
      <c r="B711">
        <v>2021</v>
      </c>
      <c r="C711" s="10" t="s">
        <v>260</v>
      </c>
      <c r="D711" s="15">
        <v>371325</v>
      </c>
      <c r="E711">
        <f>IFERROR(VLOOKUP(C711,'LEAID Match'!$A$2:$B$214,2,FALSE),"")</f>
        <v>5099952</v>
      </c>
      <c r="F711">
        <f t="shared" si="0"/>
        <v>8</v>
      </c>
    </row>
    <row r="712" spans="1:6">
      <c r="A712">
        <v>5099952</v>
      </c>
      <c r="B712">
        <v>2022</v>
      </c>
      <c r="C712" s="10" t="s">
        <v>260</v>
      </c>
      <c r="D712" s="15">
        <v>1042074</v>
      </c>
      <c r="E712">
        <f>IFERROR(VLOOKUP(C712,'LEAID Match'!$A$2:$B$214,2,FALSE),"")</f>
        <v>5099952</v>
      </c>
      <c r="F712">
        <f t="shared" si="0"/>
        <v>8</v>
      </c>
    </row>
    <row r="713" spans="1:6">
      <c r="A713">
        <v>5099949</v>
      </c>
      <c r="B713">
        <v>2015</v>
      </c>
      <c r="C713" s="10" t="s">
        <v>277</v>
      </c>
      <c r="D713" s="15">
        <v>76490.09</v>
      </c>
      <c r="E713">
        <f>IFERROR(VLOOKUP(C713,'LEAID Match'!$A$2:$B$214,2,FALSE),"")</f>
        <v>5099949</v>
      </c>
      <c r="F713">
        <f t="shared" si="0"/>
        <v>8</v>
      </c>
    </row>
    <row r="714" spans="1:6">
      <c r="A714">
        <v>5099949</v>
      </c>
      <c r="B714">
        <v>2016</v>
      </c>
      <c r="C714" s="10" t="s">
        <v>277</v>
      </c>
      <c r="D714" s="15">
        <v>138364.07999999999</v>
      </c>
      <c r="E714">
        <f>IFERROR(VLOOKUP(C714,'LEAID Match'!$A$2:$B$214,2,FALSE),"")</f>
        <v>5099949</v>
      </c>
      <c r="F714">
        <f t="shared" si="0"/>
        <v>8</v>
      </c>
    </row>
    <row r="715" spans="1:6">
      <c r="A715">
        <v>5099949</v>
      </c>
      <c r="B715">
        <v>2017</v>
      </c>
      <c r="C715" s="10" t="s">
        <v>277</v>
      </c>
      <c r="D715" s="15">
        <v>146009</v>
      </c>
      <c r="E715">
        <f>IFERROR(VLOOKUP(C715,'LEAID Match'!$A$2:$B$214,2,FALSE),"")</f>
        <v>5099949</v>
      </c>
      <c r="F715">
        <f t="shared" si="0"/>
        <v>8</v>
      </c>
    </row>
    <row r="716" spans="1:6">
      <c r="A716">
        <v>5099949</v>
      </c>
      <c r="B716">
        <v>2018</v>
      </c>
      <c r="C716" s="10" t="s">
        <v>277</v>
      </c>
      <c r="D716" s="15">
        <v>203212</v>
      </c>
      <c r="E716">
        <f>IFERROR(VLOOKUP(C716,'LEAID Match'!$A$2:$B$214,2,FALSE),"")</f>
        <v>5099949</v>
      </c>
      <c r="F716">
        <f t="shared" si="0"/>
        <v>8</v>
      </c>
    </row>
    <row r="717" spans="1:6">
      <c r="A717">
        <v>5099949</v>
      </c>
      <c r="B717">
        <v>2019</v>
      </c>
      <c r="C717" s="10" t="s">
        <v>277</v>
      </c>
      <c r="D717" s="15">
        <v>221340</v>
      </c>
      <c r="E717">
        <f>IFERROR(VLOOKUP(C717,'LEAID Match'!$A$2:$B$214,2,FALSE),"")</f>
        <v>5099949</v>
      </c>
      <c r="F717">
        <f t="shared" si="0"/>
        <v>8</v>
      </c>
    </row>
    <row r="718" spans="1:6">
      <c r="A718">
        <v>5099949</v>
      </c>
      <c r="B718">
        <v>2020</v>
      </c>
      <c r="C718" s="10" t="s">
        <v>277</v>
      </c>
      <c r="D718" s="15">
        <v>236572</v>
      </c>
      <c r="E718">
        <f>IFERROR(VLOOKUP(C718,'LEAID Match'!$A$2:$B$214,2,FALSE),"")</f>
        <v>5099949</v>
      </c>
      <c r="F718">
        <f t="shared" si="0"/>
        <v>8</v>
      </c>
    </row>
    <row r="719" spans="1:6">
      <c r="A719">
        <v>5099949</v>
      </c>
      <c r="B719">
        <v>2021</v>
      </c>
      <c r="C719" s="10" t="s">
        <v>277</v>
      </c>
      <c r="D719" s="15">
        <v>238664</v>
      </c>
      <c r="E719">
        <f>IFERROR(VLOOKUP(C719,'LEAID Match'!$A$2:$B$214,2,FALSE),"")</f>
        <v>5099949</v>
      </c>
      <c r="F719">
        <f t="shared" si="0"/>
        <v>8</v>
      </c>
    </row>
    <row r="720" spans="1:6">
      <c r="A720">
        <v>5099949</v>
      </c>
      <c r="B720">
        <v>2022</v>
      </c>
      <c r="C720" s="10" t="s">
        <v>277</v>
      </c>
      <c r="D720" s="15">
        <v>555402</v>
      </c>
      <c r="E720">
        <f>IFERROR(VLOOKUP(C720,'LEAID Match'!$A$2:$B$214,2,FALSE),"")</f>
        <v>5099949</v>
      </c>
      <c r="F720">
        <f t="shared" si="0"/>
        <v>8</v>
      </c>
    </row>
    <row r="721" spans="1:6">
      <c r="A721">
        <v>5099948</v>
      </c>
      <c r="B721">
        <v>2015</v>
      </c>
      <c r="C721" s="10" t="s">
        <v>233</v>
      </c>
      <c r="D721" s="15">
        <v>546501.85</v>
      </c>
      <c r="E721">
        <f>IFERROR(VLOOKUP(C721,'LEAID Match'!$A$2:$B$214,2,FALSE),"")</f>
        <v>5099948</v>
      </c>
      <c r="F721">
        <f t="shared" si="0"/>
        <v>8</v>
      </c>
    </row>
    <row r="722" spans="1:6">
      <c r="A722">
        <v>5099948</v>
      </c>
      <c r="B722">
        <v>2016</v>
      </c>
      <c r="C722" s="10" t="s">
        <v>233</v>
      </c>
      <c r="D722" s="15">
        <v>529968.51</v>
      </c>
      <c r="E722">
        <f>IFERROR(VLOOKUP(C722,'LEAID Match'!$A$2:$B$214,2,FALSE),"")</f>
        <v>5099948</v>
      </c>
      <c r="F722">
        <f t="shared" si="0"/>
        <v>8</v>
      </c>
    </row>
    <row r="723" spans="1:6">
      <c r="A723">
        <v>5099948</v>
      </c>
      <c r="B723">
        <v>2017</v>
      </c>
      <c r="C723" s="10" t="s">
        <v>233</v>
      </c>
      <c r="D723" s="15">
        <v>563585</v>
      </c>
      <c r="E723">
        <f>IFERROR(VLOOKUP(C723,'LEAID Match'!$A$2:$B$214,2,FALSE),"")</f>
        <v>5099948</v>
      </c>
      <c r="F723">
        <f t="shared" si="0"/>
        <v>8</v>
      </c>
    </row>
    <row r="724" spans="1:6">
      <c r="A724">
        <v>5099948</v>
      </c>
      <c r="B724">
        <v>2018</v>
      </c>
      <c r="C724" s="10" t="s">
        <v>233</v>
      </c>
      <c r="D724" s="15">
        <v>801350</v>
      </c>
      <c r="E724">
        <f>IFERROR(VLOOKUP(C724,'LEAID Match'!$A$2:$B$214,2,FALSE),"")</f>
        <v>5099948</v>
      </c>
      <c r="F724">
        <f t="shared" si="0"/>
        <v>8</v>
      </c>
    </row>
    <row r="725" spans="1:6">
      <c r="A725">
        <v>5099948</v>
      </c>
      <c r="B725">
        <v>2019</v>
      </c>
      <c r="C725" s="10" t="s">
        <v>233</v>
      </c>
      <c r="D725" s="15">
        <v>853564</v>
      </c>
      <c r="E725">
        <f>IFERROR(VLOOKUP(C725,'LEAID Match'!$A$2:$B$214,2,FALSE),"")</f>
        <v>5099948</v>
      </c>
      <c r="F725">
        <f t="shared" si="0"/>
        <v>8</v>
      </c>
    </row>
    <row r="726" spans="1:6">
      <c r="A726">
        <v>5099948</v>
      </c>
      <c r="B726">
        <v>2020</v>
      </c>
      <c r="C726" s="10" t="s">
        <v>233</v>
      </c>
      <c r="D726" s="15">
        <v>869715</v>
      </c>
      <c r="E726">
        <f>IFERROR(VLOOKUP(C726,'LEAID Match'!$A$2:$B$214,2,FALSE),"")</f>
        <v>5099948</v>
      </c>
      <c r="F726">
        <f t="shared" si="0"/>
        <v>8</v>
      </c>
    </row>
    <row r="727" spans="1:6">
      <c r="A727">
        <v>5099948</v>
      </c>
      <c r="B727">
        <v>2021</v>
      </c>
      <c r="C727" s="10" t="s">
        <v>233</v>
      </c>
      <c r="D727" s="15">
        <v>906213</v>
      </c>
      <c r="E727">
        <f>IFERROR(VLOOKUP(C727,'LEAID Match'!$A$2:$B$214,2,FALSE),"")</f>
        <v>5099948</v>
      </c>
      <c r="F727">
        <f t="shared" si="0"/>
        <v>8</v>
      </c>
    </row>
    <row r="728" spans="1:6">
      <c r="A728">
        <v>5099948</v>
      </c>
      <c r="B728">
        <v>2022</v>
      </c>
      <c r="C728" s="10" t="s">
        <v>233</v>
      </c>
      <c r="D728" s="15">
        <v>2505238</v>
      </c>
      <c r="E728">
        <f>IFERROR(VLOOKUP(C728,'LEAID Match'!$A$2:$B$214,2,FALSE),"")</f>
        <v>5099948</v>
      </c>
      <c r="F728">
        <f t="shared" si="0"/>
        <v>8</v>
      </c>
    </row>
    <row r="729" spans="1:6">
      <c r="A729">
        <v>5099947</v>
      </c>
      <c r="B729">
        <v>2015</v>
      </c>
      <c r="C729" s="10" t="s">
        <v>270</v>
      </c>
      <c r="D729" s="15">
        <v>383147.64</v>
      </c>
      <c r="E729">
        <f>IFERROR(VLOOKUP(C729,'LEAID Match'!$A$2:$B$214,2,FALSE),"")</f>
        <v>5099947</v>
      </c>
      <c r="F729">
        <f t="shared" si="0"/>
        <v>8</v>
      </c>
    </row>
    <row r="730" spans="1:6">
      <c r="A730">
        <v>5099947</v>
      </c>
      <c r="B730">
        <v>2016</v>
      </c>
      <c r="C730" s="10" t="s">
        <v>270</v>
      </c>
      <c r="D730" s="15">
        <v>385659.85</v>
      </c>
      <c r="E730">
        <f>IFERROR(VLOOKUP(C730,'LEAID Match'!$A$2:$B$214,2,FALSE),"")</f>
        <v>5099947</v>
      </c>
      <c r="F730">
        <f t="shared" si="0"/>
        <v>8</v>
      </c>
    </row>
    <row r="731" spans="1:6">
      <c r="A731">
        <v>5099947</v>
      </c>
      <c r="B731">
        <v>2017</v>
      </c>
      <c r="C731" s="10" t="s">
        <v>270</v>
      </c>
      <c r="D731" s="15">
        <v>397771</v>
      </c>
      <c r="E731">
        <f>IFERROR(VLOOKUP(C731,'LEAID Match'!$A$2:$B$214,2,FALSE),"")</f>
        <v>5099947</v>
      </c>
      <c r="F731">
        <f t="shared" si="0"/>
        <v>8</v>
      </c>
    </row>
    <row r="732" spans="1:6">
      <c r="A732">
        <v>5099947</v>
      </c>
      <c r="B732">
        <v>2018</v>
      </c>
      <c r="C732" s="10" t="s">
        <v>270</v>
      </c>
      <c r="D732" s="15">
        <v>543759</v>
      </c>
      <c r="E732">
        <f>IFERROR(VLOOKUP(C732,'LEAID Match'!$A$2:$B$214,2,FALSE),"")</f>
        <v>5099947</v>
      </c>
      <c r="F732">
        <f t="shared" si="0"/>
        <v>8</v>
      </c>
    </row>
    <row r="733" spans="1:6">
      <c r="A733">
        <v>5099947</v>
      </c>
      <c r="B733">
        <v>2019</v>
      </c>
      <c r="C733" s="10" t="s">
        <v>270</v>
      </c>
      <c r="D733" s="15">
        <v>592120</v>
      </c>
      <c r="E733">
        <f>IFERROR(VLOOKUP(C733,'LEAID Match'!$A$2:$B$214,2,FALSE),"")</f>
        <v>5099947</v>
      </c>
      <c r="F733">
        <f t="shared" si="0"/>
        <v>8</v>
      </c>
    </row>
    <row r="734" spans="1:6">
      <c r="A734">
        <v>5099947</v>
      </c>
      <c r="B734">
        <v>2020</v>
      </c>
      <c r="C734" s="10" t="s">
        <v>270</v>
      </c>
      <c r="D734" s="15">
        <v>644368</v>
      </c>
      <c r="E734">
        <f>IFERROR(VLOOKUP(C734,'LEAID Match'!$A$2:$B$214,2,FALSE),"")</f>
        <v>5099947</v>
      </c>
      <c r="F734">
        <f t="shared" si="0"/>
        <v>8</v>
      </c>
    </row>
    <row r="735" spans="1:6">
      <c r="A735">
        <v>5099947</v>
      </c>
      <c r="B735">
        <v>2021</v>
      </c>
      <c r="C735" s="10" t="s">
        <v>270</v>
      </c>
      <c r="D735" s="15">
        <v>721405</v>
      </c>
      <c r="E735">
        <f>IFERROR(VLOOKUP(C735,'LEAID Match'!$A$2:$B$214,2,FALSE),"")</f>
        <v>5099947</v>
      </c>
      <c r="F735">
        <f t="shared" si="0"/>
        <v>8</v>
      </c>
    </row>
    <row r="736" spans="1:6">
      <c r="A736">
        <v>5099947</v>
      </c>
      <c r="B736">
        <v>2022</v>
      </c>
      <c r="C736" s="10" t="s">
        <v>270</v>
      </c>
      <c r="D736" s="15">
        <v>1567946</v>
      </c>
      <c r="E736">
        <f>IFERROR(VLOOKUP(C736,'LEAID Match'!$A$2:$B$214,2,FALSE),"")</f>
        <v>5099947</v>
      </c>
      <c r="F736">
        <f t="shared" si="0"/>
        <v>8</v>
      </c>
    </row>
    <row r="737" spans="1:6">
      <c r="A737">
        <v>5099946</v>
      </c>
      <c r="B737">
        <v>2015</v>
      </c>
      <c r="C737" s="10" t="s">
        <v>276</v>
      </c>
      <c r="D737" s="15">
        <v>197432.06</v>
      </c>
      <c r="E737">
        <f>IFERROR(VLOOKUP(C737,'LEAID Match'!$A$2:$B$214,2,FALSE),"")</f>
        <v>5099946</v>
      </c>
      <c r="F737">
        <f t="shared" si="0"/>
        <v>8</v>
      </c>
    </row>
    <row r="738" spans="1:6">
      <c r="A738">
        <v>5099946</v>
      </c>
      <c r="B738">
        <v>2016</v>
      </c>
      <c r="C738" s="10" t="s">
        <v>276</v>
      </c>
      <c r="D738" s="15">
        <v>173578.45</v>
      </c>
      <c r="E738">
        <f>IFERROR(VLOOKUP(C738,'LEAID Match'!$A$2:$B$214,2,FALSE),"")</f>
        <v>5099946</v>
      </c>
      <c r="F738">
        <f t="shared" si="0"/>
        <v>8</v>
      </c>
    </row>
    <row r="739" spans="1:6">
      <c r="A739">
        <v>5099946</v>
      </c>
      <c r="B739">
        <v>2017</v>
      </c>
      <c r="C739" s="10" t="s">
        <v>276</v>
      </c>
      <c r="D739" s="15">
        <v>211951</v>
      </c>
      <c r="E739">
        <f>IFERROR(VLOOKUP(C739,'LEAID Match'!$A$2:$B$214,2,FALSE),"")</f>
        <v>5099946</v>
      </c>
      <c r="F739">
        <f t="shared" si="0"/>
        <v>8</v>
      </c>
    </row>
    <row r="740" spans="1:6">
      <c r="A740">
        <v>5099946</v>
      </c>
      <c r="B740">
        <v>2018</v>
      </c>
      <c r="C740" s="10" t="s">
        <v>276</v>
      </c>
      <c r="D740" s="15">
        <v>288867</v>
      </c>
      <c r="E740">
        <f>IFERROR(VLOOKUP(C740,'LEAID Match'!$A$2:$B$214,2,FALSE),"")</f>
        <v>5099946</v>
      </c>
      <c r="F740">
        <f t="shared" si="0"/>
        <v>8</v>
      </c>
    </row>
    <row r="741" spans="1:6">
      <c r="A741">
        <v>5099946</v>
      </c>
      <c r="B741">
        <v>2019</v>
      </c>
      <c r="C741" s="10" t="s">
        <v>276</v>
      </c>
      <c r="D741" s="15">
        <v>346344</v>
      </c>
      <c r="E741">
        <f>IFERROR(VLOOKUP(C741,'LEAID Match'!$A$2:$B$214,2,FALSE),"")</f>
        <v>5099946</v>
      </c>
      <c r="F741">
        <f t="shared" si="0"/>
        <v>8</v>
      </c>
    </row>
    <row r="742" spans="1:6">
      <c r="A742">
        <v>5099946</v>
      </c>
      <c r="B742">
        <v>2020</v>
      </c>
      <c r="C742" s="10" t="s">
        <v>276</v>
      </c>
      <c r="D742" s="15">
        <v>443974</v>
      </c>
      <c r="E742">
        <f>IFERROR(VLOOKUP(C742,'LEAID Match'!$A$2:$B$214,2,FALSE),"")</f>
        <v>5099946</v>
      </c>
      <c r="F742">
        <f t="shared" si="0"/>
        <v>8</v>
      </c>
    </row>
    <row r="743" spans="1:6">
      <c r="A743">
        <v>5099946</v>
      </c>
      <c r="B743">
        <v>2021</v>
      </c>
      <c r="C743" s="10" t="s">
        <v>276</v>
      </c>
      <c r="D743" s="15">
        <v>478839</v>
      </c>
      <c r="E743">
        <f>IFERROR(VLOOKUP(C743,'LEAID Match'!$A$2:$B$214,2,FALSE),"")</f>
        <v>5099946</v>
      </c>
      <c r="F743">
        <f t="shared" si="0"/>
        <v>8</v>
      </c>
    </row>
    <row r="744" spans="1:6">
      <c r="A744">
        <v>5099946</v>
      </c>
      <c r="B744">
        <v>2022</v>
      </c>
      <c r="C744" s="10" t="s">
        <v>276</v>
      </c>
      <c r="D744" s="15">
        <v>1036140</v>
      </c>
      <c r="E744">
        <f>IFERROR(VLOOKUP(C744,'LEAID Match'!$A$2:$B$214,2,FALSE),"")</f>
        <v>5099946</v>
      </c>
      <c r="F744">
        <f t="shared" si="0"/>
        <v>8</v>
      </c>
    </row>
    <row r="745" spans="1:6">
      <c r="A745">
        <v>5099943</v>
      </c>
      <c r="B745">
        <v>2015</v>
      </c>
      <c r="C745" s="10" t="s">
        <v>245</v>
      </c>
      <c r="D745" s="15">
        <v>27774.09</v>
      </c>
      <c r="E745">
        <f>IFERROR(VLOOKUP(C745,'LEAID Match'!$A$2:$B$214,2,FALSE),"")</f>
        <v>5099943</v>
      </c>
      <c r="F745">
        <f t="shared" si="0"/>
        <v>8</v>
      </c>
    </row>
    <row r="746" spans="1:6">
      <c r="A746">
        <v>5099943</v>
      </c>
      <c r="B746">
        <v>2016</v>
      </c>
      <c r="C746" s="10" t="s">
        <v>245</v>
      </c>
      <c r="D746" s="15">
        <v>116177.5</v>
      </c>
      <c r="E746">
        <f>IFERROR(VLOOKUP(C746,'LEAID Match'!$A$2:$B$214,2,FALSE),"")</f>
        <v>5099943</v>
      </c>
      <c r="F746">
        <f t="shared" si="0"/>
        <v>8</v>
      </c>
    </row>
    <row r="747" spans="1:6">
      <c r="A747">
        <v>5099943</v>
      </c>
      <c r="B747">
        <v>2017</v>
      </c>
      <c r="C747" s="10" t="s">
        <v>245</v>
      </c>
      <c r="D747" s="15">
        <v>99622</v>
      </c>
      <c r="E747">
        <f>IFERROR(VLOOKUP(C747,'LEAID Match'!$A$2:$B$214,2,FALSE),"")</f>
        <v>5099943</v>
      </c>
      <c r="F747">
        <f t="shared" si="0"/>
        <v>8</v>
      </c>
    </row>
    <row r="748" spans="1:6">
      <c r="A748">
        <v>5099943</v>
      </c>
      <c r="B748">
        <v>2018</v>
      </c>
      <c r="C748" s="10" t="s">
        <v>245</v>
      </c>
      <c r="D748" s="15">
        <v>119023</v>
      </c>
      <c r="E748">
        <f>IFERROR(VLOOKUP(C748,'LEAID Match'!$A$2:$B$214,2,FALSE),"")</f>
        <v>5099943</v>
      </c>
      <c r="F748">
        <f t="shared" si="0"/>
        <v>8</v>
      </c>
    </row>
    <row r="749" spans="1:6">
      <c r="A749">
        <v>5099943</v>
      </c>
      <c r="B749">
        <v>2019</v>
      </c>
      <c r="C749" s="10" t="s">
        <v>245</v>
      </c>
      <c r="D749" s="15">
        <v>0</v>
      </c>
      <c r="E749">
        <f>IFERROR(VLOOKUP(C749,'LEAID Match'!$A$2:$B$214,2,FALSE),"")</f>
        <v>5099943</v>
      </c>
      <c r="F749">
        <f t="shared" si="0"/>
        <v>8</v>
      </c>
    </row>
    <row r="750" spans="1:6">
      <c r="A750">
        <v>5099943</v>
      </c>
      <c r="B750">
        <v>2020</v>
      </c>
      <c r="C750" s="10" t="s">
        <v>245</v>
      </c>
      <c r="D750" s="15">
        <v>0</v>
      </c>
      <c r="E750">
        <f>IFERROR(VLOOKUP(C750,'LEAID Match'!$A$2:$B$214,2,FALSE),"")</f>
        <v>5099943</v>
      </c>
      <c r="F750">
        <f t="shared" si="0"/>
        <v>8</v>
      </c>
    </row>
    <row r="751" spans="1:6">
      <c r="A751">
        <v>5099943</v>
      </c>
      <c r="B751">
        <v>2021</v>
      </c>
      <c r="C751" s="10" t="s">
        <v>245</v>
      </c>
      <c r="D751" s="15">
        <v>0</v>
      </c>
      <c r="E751">
        <f>IFERROR(VLOOKUP(C751,'LEAID Match'!$A$2:$B$214,2,FALSE),"")</f>
        <v>5099943</v>
      </c>
      <c r="F751">
        <f t="shared" si="0"/>
        <v>8</v>
      </c>
    </row>
    <row r="752" spans="1:6">
      <c r="A752">
        <v>5099943</v>
      </c>
      <c r="B752">
        <v>2022</v>
      </c>
      <c r="C752" s="10" t="s">
        <v>245</v>
      </c>
      <c r="D752" s="15">
        <v>0</v>
      </c>
      <c r="E752">
        <f>IFERROR(VLOOKUP(C752,'LEAID Match'!$A$2:$B$214,2,FALSE),"")</f>
        <v>5099943</v>
      </c>
      <c r="F752">
        <f t="shared" si="0"/>
        <v>8</v>
      </c>
    </row>
    <row r="753" spans="1:6">
      <c r="A753">
        <v>5099941</v>
      </c>
      <c r="B753">
        <v>2015</v>
      </c>
      <c r="C753" s="10" t="s">
        <v>211</v>
      </c>
      <c r="D753" s="15">
        <v>106620.19</v>
      </c>
      <c r="E753">
        <f>IFERROR(VLOOKUP(C753,'LEAID Match'!$A$2:$B$214,2,FALSE),"")</f>
        <v>5099941</v>
      </c>
      <c r="F753">
        <f t="shared" si="0"/>
        <v>8</v>
      </c>
    </row>
    <row r="754" spans="1:6">
      <c r="A754">
        <v>5099941</v>
      </c>
      <c r="B754">
        <v>2016</v>
      </c>
      <c r="C754" s="10" t="s">
        <v>211</v>
      </c>
      <c r="D754" s="15">
        <v>109359.71</v>
      </c>
      <c r="E754">
        <f>IFERROR(VLOOKUP(C754,'LEAID Match'!$A$2:$B$214,2,FALSE),"")</f>
        <v>5099941</v>
      </c>
      <c r="F754">
        <f t="shared" si="0"/>
        <v>8</v>
      </c>
    </row>
    <row r="755" spans="1:6">
      <c r="A755">
        <v>5099941</v>
      </c>
      <c r="B755">
        <v>2017</v>
      </c>
      <c r="C755" s="10" t="s">
        <v>211</v>
      </c>
      <c r="D755" s="15">
        <v>110584</v>
      </c>
      <c r="E755">
        <f>IFERROR(VLOOKUP(C755,'LEAID Match'!$A$2:$B$214,2,FALSE),"")</f>
        <v>5099941</v>
      </c>
      <c r="F755">
        <f t="shared" si="0"/>
        <v>8</v>
      </c>
    </row>
    <row r="756" spans="1:6">
      <c r="A756">
        <v>5099941</v>
      </c>
      <c r="B756">
        <v>2018</v>
      </c>
      <c r="C756" s="10" t="s">
        <v>211</v>
      </c>
      <c r="D756" s="15">
        <v>142939</v>
      </c>
      <c r="E756">
        <f>IFERROR(VLOOKUP(C756,'LEAID Match'!$A$2:$B$214,2,FALSE),"")</f>
        <v>5099941</v>
      </c>
      <c r="F756">
        <f t="shared" si="0"/>
        <v>8</v>
      </c>
    </row>
    <row r="757" spans="1:6">
      <c r="A757">
        <v>5099941</v>
      </c>
      <c r="B757">
        <v>2019</v>
      </c>
      <c r="C757" s="10" t="s">
        <v>211</v>
      </c>
      <c r="D757" s="15">
        <v>148519</v>
      </c>
      <c r="E757">
        <f>IFERROR(VLOOKUP(C757,'LEAID Match'!$A$2:$B$214,2,FALSE),"")</f>
        <v>5099941</v>
      </c>
      <c r="F757">
        <f t="shared" si="0"/>
        <v>8</v>
      </c>
    </row>
    <row r="758" spans="1:6">
      <c r="A758">
        <v>5099941</v>
      </c>
      <c r="B758">
        <v>2020</v>
      </c>
      <c r="C758" s="10" t="s">
        <v>211</v>
      </c>
      <c r="D758" s="15">
        <v>0</v>
      </c>
      <c r="E758">
        <f>IFERROR(VLOOKUP(C758,'LEAID Match'!$A$2:$B$214,2,FALSE),"")</f>
        <v>5099941</v>
      </c>
      <c r="F758">
        <f t="shared" si="0"/>
        <v>8</v>
      </c>
    </row>
    <row r="759" spans="1:6">
      <c r="A759">
        <v>5099941</v>
      </c>
      <c r="B759">
        <v>2021</v>
      </c>
      <c r="C759" s="10" t="s">
        <v>211</v>
      </c>
      <c r="D759" s="15">
        <v>0</v>
      </c>
      <c r="E759">
        <f>IFERROR(VLOOKUP(C759,'LEAID Match'!$A$2:$B$214,2,FALSE),"")</f>
        <v>5099941</v>
      </c>
      <c r="F759">
        <f t="shared" si="0"/>
        <v>8</v>
      </c>
    </row>
    <row r="760" spans="1:6">
      <c r="A760">
        <v>5099941</v>
      </c>
      <c r="B760">
        <v>2022</v>
      </c>
      <c r="C760" s="10" t="s">
        <v>211</v>
      </c>
      <c r="D760" s="15">
        <v>0</v>
      </c>
      <c r="E760">
        <f>IFERROR(VLOOKUP(C760,'LEAID Match'!$A$2:$B$214,2,FALSE),"")</f>
        <v>5099941</v>
      </c>
      <c r="F760">
        <f t="shared" si="0"/>
        <v>8</v>
      </c>
    </row>
    <row r="761" spans="1:6">
      <c r="A761">
        <v>5099938</v>
      </c>
      <c r="B761">
        <v>2015</v>
      </c>
      <c r="C761" s="10" t="s">
        <v>206</v>
      </c>
      <c r="D761" s="15">
        <v>85346.87</v>
      </c>
      <c r="E761">
        <f>IFERROR(VLOOKUP(C761,'LEAID Match'!$A$2:$B$214,2,FALSE),"")</f>
        <v>5099938</v>
      </c>
      <c r="F761">
        <f t="shared" si="0"/>
        <v>8</v>
      </c>
    </row>
    <row r="762" spans="1:6">
      <c r="A762">
        <v>5099938</v>
      </c>
      <c r="B762">
        <v>2016</v>
      </c>
      <c r="C762" s="10" t="s">
        <v>206</v>
      </c>
      <c r="D762" s="15">
        <v>133740.25</v>
      </c>
      <c r="E762">
        <f>IFERROR(VLOOKUP(C762,'LEAID Match'!$A$2:$B$214,2,FALSE),"")</f>
        <v>5099938</v>
      </c>
      <c r="F762">
        <f t="shared" si="0"/>
        <v>8</v>
      </c>
    </row>
    <row r="763" spans="1:6">
      <c r="A763">
        <v>5099938</v>
      </c>
      <c r="B763">
        <v>2017</v>
      </c>
      <c r="C763" s="10" t="s">
        <v>206</v>
      </c>
      <c r="D763" s="15">
        <v>138294</v>
      </c>
      <c r="E763">
        <f>IFERROR(VLOOKUP(C763,'LEAID Match'!$A$2:$B$214,2,FALSE),"")</f>
        <v>5099938</v>
      </c>
      <c r="F763">
        <f t="shared" si="0"/>
        <v>8</v>
      </c>
    </row>
    <row r="764" spans="1:6">
      <c r="A764">
        <v>5099938</v>
      </c>
      <c r="B764">
        <v>2018</v>
      </c>
      <c r="C764" s="10" t="s">
        <v>206</v>
      </c>
      <c r="D764" s="15">
        <v>180405</v>
      </c>
      <c r="E764">
        <f>IFERROR(VLOOKUP(C764,'LEAID Match'!$A$2:$B$214,2,FALSE),"")</f>
        <v>5099938</v>
      </c>
      <c r="F764">
        <f t="shared" si="0"/>
        <v>8</v>
      </c>
    </row>
    <row r="765" spans="1:6">
      <c r="A765">
        <v>5099938</v>
      </c>
      <c r="B765">
        <v>2019</v>
      </c>
      <c r="C765" s="10" t="s">
        <v>206</v>
      </c>
      <c r="D765" s="15">
        <v>0</v>
      </c>
      <c r="E765">
        <f>IFERROR(VLOOKUP(C765,'LEAID Match'!$A$2:$B$214,2,FALSE),"")</f>
        <v>5099938</v>
      </c>
      <c r="F765">
        <f t="shared" si="0"/>
        <v>8</v>
      </c>
    </row>
    <row r="766" spans="1:6">
      <c r="A766">
        <v>5099938</v>
      </c>
      <c r="B766">
        <v>2020</v>
      </c>
      <c r="C766" s="10" t="s">
        <v>206</v>
      </c>
      <c r="D766" s="15">
        <v>0</v>
      </c>
      <c r="E766">
        <f>IFERROR(VLOOKUP(C766,'LEAID Match'!$A$2:$B$214,2,FALSE),"")</f>
        <v>5099938</v>
      </c>
      <c r="F766">
        <f t="shared" si="0"/>
        <v>8</v>
      </c>
    </row>
    <row r="767" spans="1:6">
      <c r="A767">
        <v>5099938</v>
      </c>
      <c r="B767">
        <v>2021</v>
      </c>
      <c r="C767" s="10" t="s">
        <v>206</v>
      </c>
      <c r="D767" s="15">
        <v>0</v>
      </c>
      <c r="E767">
        <f>IFERROR(VLOOKUP(C767,'LEAID Match'!$A$2:$B$214,2,FALSE),"")</f>
        <v>5099938</v>
      </c>
      <c r="F767">
        <f t="shared" si="0"/>
        <v>8</v>
      </c>
    </row>
    <row r="768" spans="1:6">
      <c r="A768">
        <v>5099938</v>
      </c>
      <c r="B768">
        <v>2022</v>
      </c>
      <c r="C768" s="10" t="s">
        <v>206</v>
      </c>
      <c r="D768" s="15">
        <v>0</v>
      </c>
      <c r="E768">
        <f>IFERROR(VLOOKUP(C768,'LEAID Match'!$A$2:$B$214,2,FALSE),"")</f>
        <v>5099938</v>
      </c>
      <c r="F768">
        <f t="shared" si="0"/>
        <v>8</v>
      </c>
    </row>
    <row r="769" spans="1:6">
      <c r="A769">
        <v>5099937</v>
      </c>
      <c r="B769">
        <v>2015</v>
      </c>
      <c r="C769" s="10" t="s">
        <v>230</v>
      </c>
      <c r="D769" s="15">
        <v>93459.28</v>
      </c>
      <c r="E769">
        <f>IFERROR(VLOOKUP(C769,'LEAID Match'!$A$2:$B$214,2,FALSE),"")</f>
        <v>5099937</v>
      </c>
      <c r="F769">
        <f t="shared" si="0"/>
        <v>8</v>
      </c>
    </row>
    <row r="770" spans="1:6">
      <c r="A770">
        <v>5099937</v>
      </c>
      <c r="B770">
        <v>2016</v>
      </c>
      <c r="C770" s="10" t="s">
        <v>230</v>
      </c>
      <c r="D770" s="15">
        <v>100754.55</v>
      </c>
      <c r="E770">
        <f>IFERROR(VLOOKUP(C770,'LEAID Match'!$A$2:$B$214,2,FALSE),"")</f>
        <v>5099937</v>
      </c>
      <c r="F770">
        <f t="shared" ref="F770:F833" si="1">COUNTIF($A$705:$A$2272,A770)</f>
        <v>8</v>
      </c>
    </row>
    <row r="771" spans="1:6">
      <c r="A771">
        <v>5099937</v>
      </c>
      <c r="B771">
        <v>2017</v>
      </c>
      <c r="C771" s="10" t="s">
        <v>230</v>
      </c>
      <c r="D771" s="15">
        <v>227539</v>
      </c>
      <c r="E771">
        <f>IFERROR(VLOOKUP(C771,'LEAID Match'!$A$2:$B$214,2,FALSE),"")</f>
        <v>5099937</v>
      </c>
      <c r="F771">
        <f t="shared" si="1"/>
        <v>8</v>
      </c>
    </row>
    <row r="772" spans="1:6">
      <c r="A772">
        <v>5099937</v>
      </c>
      <c r="B772">
        <v>2018</v>
      </c>
      <c r="C772" s="10" t="s">
        <v>230</v>
      </c>
      <c r="D772" s="15">
        <v>330906</v>
      </c>
      <c r="E772">
        <f>IFERROR(VLOOKUP(C772,'LEAID Match'!$A$2:$B$214,2,FALSE),"")</f>
        <v>5099937</v>
      </c>
      <c r="F772">
        <f t="shared" si="1"/>
        <v>8</v>
      </c>
    </row>
    <row r="773" spans="1:6">
      <c r="A773">
        <v>5099937</v>
      </c>
      <c r="B773">
        <v>2019</v>
      </c>
      <c r="C773" s="10" t="s">
        <v>230</v>
      </c>
      <c r="D773" s="15">
        <v>0</v>
      </c>
      <c r="E773">
        <f>IFERROR(VLOOKUP(C773,'LEAID Match'!$A$2:$B$214,2,FALSE),"")</f>
        <v>5099937</v>
      </c>
      <c r="F773">
        <f t="shared" si="1"/>
        <v>8</v>
      </c>
    </row>
    <row r="774" spans="1:6">
      <c r="A774">
        <v>5099937</v>
      </c>
      <c r="B774">
        <v>2020</v>
      </c>
      <c r="C774" s="10" t="s">
        <v>230</v>
      </c>
      <c r="D774" s="15">
        <v>0</v>
      </c>
      <c r="E774">
        <f>IFERROR(VLOOKUP(C774,'LEAID Match'!$A$2:$B$214,2,FALSE),"")</f>
        <v>5099937</v>
      </c>
      <c r="F774">
        <f t="shared" si="1"/>
        <v>8</v>
      </c>
    </row>
    <row r="775" spans="1:6">
      <c r="A775">
        <v>5099937</v>
      </c>
      <c r="B775">
        <v>2021</v>
      </c>
      <c r="C775" s="10" t="s">
        <v>230</v>
      </c>
      <c r="D775" s="15">
        <v>0</v>
      </c>
      <c r="E775">
        <f>IFERROR(VLOOKUP(C775,'LEAID Match'!$A$2:$B$214,2,FALSE),"")</f>
        <v>5099937</v>
      </c>
      <c r="F775">
        <f t="shared" si="1"/>
        <v>8</v>
      </c>
    </row>
    <row r="776" spans="1:6">
      <c r="A776">
        <v>5099937</v>
      </c>
      <c r="B776">
        <v>2022</v>
      </c>
      <c r="C776" s="10" t="s">
        <v>230</v>
      </c>
      <c r="D776" s="15">
        <v>0</v>
      </c>
      <c r="E776">
        <f>IFERROR(VLOOKUP(C776,'LEAID Match'!$A$2:$B$214,2,FALSE),"")</f>
        <v>5099937</v>
      </c>
      <c r="F776">
        <f t="shared" si="1"/>
        <v>8</v>
      </c>
    </row>
    <row r="777" spans="1:6">
      <c r="A777">
        <v>5099936</v>
      </c>
      <c r="B777">
        <v>2015</v>
      </c>
      <c r="C777" s="10" t="s">
        <v>205</v>
      </c>
      <c r="D777" s="15">
        <v>345907.97</v>
      </c>
      <c r="E777">
        <f>IFERROR(VLOOKUP(C777,'LEAID Match'!$A$2:$B$214,2,FALSE),"")</f>
        <v>5099936</v>
      </c>
      <c r="F777">
        <f t="shared" si="1"/>
        <v>8</v>
      </c>
    </row>
    <row r="778" spans="1:6">
      <c r="A778">
        <v>5099936</v>
      </c>
      <c r="B778">
        <v>2016</v>
      </c>
      <c r="C778" s="10" t="s">
        <v>205</v>
      </c>
      <c r="D778" s="15">
        <v>353639.27</v>
      </c>
      <c r="E778">
        <f>IFERROR(VLOOKUP(C778,'LEAID Match'!$A$2:$B$214,2,FALSE),"")</f>
        <v>5099936</v>
      </c>
      <c r="F778">
        <f t="shared" si="1"/>
        <v>8</v>
      </c>
    </row>
    <row r="779" spans="1:6">
      <c r="A779">
        <v>5099936</v>
      </c>
      <c r="B779">
        <v>2017</v>
      </c>
      <c r="C779" s="10" t="s">
        <v>205</v>
      </c>
      <c r="D779" s="15">
        <v>365342</v>
      </c>
      <c r="E779">
        <f>IFERROR(VLOOKUP(C779,'LEAID Match'!$A$2:$B$214,2,FALSE),"")</f>
        <v>5099936</v>
      </c>
      <c r="F779">
        <f t="shared" si="1"/>
        <v>8</v>
      </c>
    </row>
    <row r="780" spans="1:6">
      <c r="A780">
        <v>5099936</v>
      </c>
      <c r="B780">
        <v>2018</v>
      </c>
      <c r="C780" s="10" t="s">
        <v>205</v>
      </c>
      <c r="D780" s="15">
        <v>520949</v>
      </c>
      <c r="E780">
        <f>IFERROR(VLOOKUP(C780,'LEAID Match'!$A$2:$B$214,2,FALSE),"")</f>
        <v>5099936</v>
      </c>
      <c r="F780">
        <f t="shared" si="1"/>
        <v>8</v>
      </c>
    </row>
    <row r="781" spans="1:6">
      <c r="A781">
        <v>5099936</v>
      </c>
      <c r="B781">
        <v>2019</v>
      </c>
      <c r="C781" s="10" t="s">
        <v>205</v>
      </c>
      <c r="D781" s="15">
        <v>535225</v>
      </c>
      <c r="E781">
        <f>IFERROR(VLOOKUP(C781,'LEAID Match'!$A$2:$B$214,2,FALSE),"")</f>
        <v>5099936</v>
      </c>
      <c r="F781">
        <f t="shared" si="1"/>
        <v>8</v>
      </c>
    </row>
    <row r="782" spans="1:6">
      <c r="A782">
        <v>5099936</v>
      </c>
      <c r="B782">
        <v>2020</v>
      </c>
      <c r="C782" s="10" t="s">
        <v>205</v>
      </c>
      <c r="D782" s="15">
        <v>599370</v>
      </c>
      <c r="E782">
        <f>IFERROR(VLOOKUP(C782,'LEAID Match'!$A$2:$B$214,2,FALSE),"")</f>
        <v>5099936</v>
      </c>
      <c r="F782">
        <f t="shared" si="1"/>
        <v>8</v>
      </c>
    </row>
    <row r="783" spans="1:6">
      <c r="A783">
        <v>5099936</v>
      </c>
      <c r="B783">
        <v>2021</v>
      </c>
      <c r="C783" s="10" t="s">
        <v>205</v>
      </c>
      <c r="D783" s="15">
        <v>640142</v>
      </c>
      <c r="E783">
        <f>IFERROR(VLOOKUP(C783,'LEAID Match'!$A$2:$B$214,2,FALSE),"")</f>
        <v>5099936</v>
      </c>
      <c r="F783">
        <f t="shared" si="1"/>
        <v>8</v>
      </c>
    </row>
    <row r="784" spans="1:6">
      <c r="A784">
        <v>5099936</v>
      </c>
      <c r="B784">
        <v>2022</v>
      </c>
      <c r="C784" s="10" t="s">
        <v>205</v>
      </c>
      <c r="D784" s="15">
        <v>1855168</v>
      </c>
      <c r="E784">
        <f>IFERROR(VLOOKUP(C784,'LEAID Match'!$A$2:$B$214,2,FALSE),"")</f>
        <v>5099936</v>
      </c>
      <c r="F784">
        <f t="shared" si="1"/>
        <v>8</v>
      </c>
    </row>
    <row r="785" spans="1:6">
      <c r="A785">
        <v>5099935</v>
      </c>
      <c r="B785">
        <v>2015</v>
      </c>
      <c r="C785" s="10" t="s">
        <v>254</v>
      </c>
      <c r="D785" s="15">
        <v>247716.3</v>
      </c>
      <c r="E785">
        <f>IFERROR(VLOOKUP(C785,'LEAID Match'!$A$2:$B$214,2,FALSE),"")</f>
        <v>5099935</v>
      </c>
      <c r="F785">
        <f t="shared" si="1"/>
        <v>8</v>
      </c>
    </row>
    <row r="786" spans="1:6">
      <c r="A786">
        <v>5099935</v>
      </c>
      <c r="B786">
        <v>2016</v>
      </c>
      <c r="C786" s="10" t="s">
        <v>254</v>
      </c>
      <c r="D786" s="15">
        <v>245082.7</v>
      </c>
      <c r="E786">
        <f>IFERROR(VLOOKUP(C786,'LEAID Match'!$A$2:$B$214,2,FALSE),"")</f>
        <v>5099935</v>
      </c>
      <c r="F786">
        <f t="shared" si="1"/>
        <v>8</v>
      </c>
    </row>
    <row r="787" spans="1:6">
      <c r="A787">
        <v>5099935</v>
      </c>
      <c r="B787">
        <v>2017</v>
      </c>
      <c r="C787" s="10" t="s">
        <v>254</v>
      </c>
      <c r="D787" s="15">
        <v>268162</v>
      </c>
      <c r="E787">
        <f>IFERROR(VLOOKUP(C787,'LEAID Match'!$A$2:$B$214,2,FALSE),"")</f>
        <v>5099935</v>
      </c>
      <c r="F787">
        <f t="shared" si="1"/>
        <v>8</v>
      </c>
    </row>
    <row r="788" spans="1:6">
      <c r="A788">
        <v>5099935</v>
      </c>
      <c r="B788">
        <v>2018</v>
      </c>
      <c r="C788" s="10" t="s">
        <v>254</v>
      </c>
      <c r="D788" s="15">
        <v>335858</v>
      </c>
      <c r="E788">
        <f>IFERROR(VLOOKUP(C788,'LEAID Match'!$A$2:$B$214,2,FALSE),"")</f>
        <v>5099935</v>
      </c>
      <c r="F788">
        <f t="shared" si="1"/>
        <v>8</v>
      </c>
    </row>
    <row r="789" spans="1:6">
      <c r="A789">
        <v>5099935</v>
      </c>
      <c r="B789">
        <v>2019</v>
      </c>
      <c r="C789" s="10" t="s">
        <v>254</v>
      </c>
      <c r="D789" s="15">
        <v>286480</v>
      </c>
      <c r="E789">
        <f>IFERROR(VLOOKUP(C789,'LEAID Match'!$A$2:$B$214,2,FALSE),"")</f>
        <v>5099935</v>
      </c>
      <c r="F789">
        <f t="shared" si="1"/>
        <v>8</v>
      </c>
    </row>
    <row r="790" spans="1:6">
      <c r="A790">
        <v>5099935</v>
      </c>
      <c r="B790">
        <v>2020</v>
      </c>
      <c r="C790" s="10" t="s">
        <v>254</v>
      </c>
      <c r="D790" s="15">
        <v>337172</v>
      </c>
      <c r="E790">
        <f>IFERROR(VLOOKUP(C790,'LEAID Match'!$A$2:$B$214,2,FALSE),"")</f>
        <v>5099935</v>
      </c>
      <c r="F790">
        <f t="shared" si="1"/>
        <v>8</v>
      </c>
    </row>
    <row r="791" spans="1:6">
      <c r="A791">
        <v>5099935</v>
      </c>
      <c r="B791">
        <v>2021</v>
      </c>
      <c r="C791" s="10" t="s">
        <v>254</v>
      </c>
      <c r="D791" s="15">
        <v>448493</v>
      </c>
      <c r="E791">
        <f>IFERROR(VLOOKUP(C791,'LEAID Match'!$A$2:$B$214,2,FALSE),"")</f>
        <v>5099935</v>
      </c>
      <c r="F791">
        <f t="shared" si="1"/>
        <v>8</v>
      </c>
    </row>
    <row r="792" spans="1:6">
      <c r="A792">
        <v>5099935</v>
      </c>
      <c r="B792">
        <v>2022</v>
      </c>
      <c r="C792" s="10" t="s">
        <v>254</v>
      </c>
      <c r="D792" s="15">
        <v>1185934</v>
      </c>
      <c r="E792">
        <f>IFERROR(VLOOKUP(C792,'LEAID Match'!$A$2:$B$214,2,FALSE),"")</f>
        <v>5099935</v>
      </c>
      <c r="F792">
        <f t="shared" si="1"/>
        <v>8</v>
      </c>
    </row>
    <row r="793" spans="1:6">
      <c r="A793">
        <v>5099934</v>
      </c>
      <c r="B793">
        <v>2015</v>
      </c>
      <c r="C793" s="10" t="s">
        <v>217</v>
      </c>
      <c r="D793" s="15">
        <v>205878.22</v>
      </c>
      <c r="E793">
        <f>IFERROR(VLOOKUP(C793,'LEAID Match'!$A$2:$B$214,2,FALSE),"")</f>
        <v>5099934</v>
      </c>
      <c r="F793">
        <f t="shared" si="1"/>
        <v>8</v>
      </c>
    </row>
    <row r="794" spans="1:6">
      <c r="A794">
        <v>5099934</v>
      </c>
      <c r="B794">
        <v>2016</v>
      </c>
      <c r="C794" s="10" t="s">
        <v>217</v>
      </c>
      <c r="D794" s="15">
        <v>191522.28</v>
      </c>
      <c r="E794">
        <f>IFERROR(VLOOKUP(C794,'LEAID Match'!$A$2:$B$214,2,FALSE),"")</f>
        <v>5099934</v>
      </c>
      <c r="F794">
        <f t="shared" si="1"/>
        <v>8</v>
      </c>
    </row>
    <row r="795" spans="1:6">
      <c r="A795">
        <v>5099934</v>
      </c>
      <c r="B795">
        <v>2017</v>
      </c>
      <c r="C795" s="10" t="s">
        <v>217</v>
      </c>
      <c r="D795" s="15">
        <v>205745</v>
      </c>
      <c r="E795">
        <f>IFERROR(VLOOKUP(C795,'LEAID Match'!$A$2:$B$214,2,FALSE),"")</f>
        <v>5099934</v>
      </c>
      <c r="F795">
        <f t="shared" si="1"/>
        <v>8</v>
      </c>
    </row>
    <row r="796" spans="1:6">
      <c r="A796">
        <v>5099934</v>
      </c>
      <c r="B796">
        <v>2018</v>
      </c>
      <c r="C796" s="10" t="s">
        <v>217</v>
      </c>
      <c r="D796" s="15">
        <v>325367</v>
      </c>
      <c r="E796">
        <f>IFERROR(VLOOKUP(C796,'LEAID Match'!$A$2:$B$214,2,FALSE),"")</f>
        <v>5099934</v>
      </c>
      <c r="F796">
        <f t="shared" si="1"/>
        <v>8</v>
      </c>
    </row>
    <row r="797" spans="1:6">
      <c r="A797">
        <v>5099934</v>
      </c>
      <c r="B797">
        <v>2019</v>
      </c>
      <c r="C797" s="10" t="s">
        <v>217</v>
      </c>
      <c r="D797" s="15">
        <v>319700</v>
      </c>
      <c r="E797">
        <f>IFERROR(VLOOKUP(C797,'LEAID Match'!$A$2:$B$214,2,FALSE),"")</f>
        <v>5099934</v>
      </c>
      <c r="F797">
        <f t="shared" si="1"/>
        <v>8</v>
      </c>
    </row>
    <row r="798" spans="1:6">
      <c r="A798">
        <v>5099934</v>
      </c>
      <c r="B798">
        <v>2020</v>
      </c>
      <c r="C798" s="10" t="s">
        <v>217</v>
      </c>
      <c r="D798" s="15">
        <v>280678</v>
      </c>
      <c r="E798">
        <f>IFERROR(VLOOKUP(C798,'LEAID Match'!$A$2:$B$214,2,FALSE),"")</f>
        <v>5099934</v>
      </c>
      <c r="F798">
        <f t="shared" si="1"/>
        <v>8</v>
      </c>
    </row>
    <row r="799" spans="1:6">
      <c r="A799">
        <v>5099934</v>
      </c>
      <c r="B799">
        <v>2021</v>
      </c>
      <c r="C799" s="10" t="s">
        <v>217</v>
      </c>
      <c r="D799" s="15">
        <v>331194</v>
      </c>
      <c r="E799">
        <f>IFERROR(VLOOKUP(C799,'LEAID Match'!$A$2:$B$214,2,FALSE),"")</f>
        <v>5099934</v>
      </c>
      <c r="F799">
        <f t="shared" si="1"/>
        <v>8</v>
      </c>
    </row>
    <row r="800" spans="1:6">
      <c r="A800">
        <v>5099934</v>
      </c>
      <c r="B800">
        <v>2022</v>
      </c>
      <c r="C800" s="10" t="s">
        <v>217</v>
      </c>
      <c r="D800" s="15">
        <v>780107</v>
      </c>
      <c r="E800">
        <f>IFERROR(VLOOKUP(C800,'LEAID Match'!$A$2:$B$214,2,FALSE),"")</f>
        <v>5099934</v>
      </c>
      <c r="F800">
        <f t="shared" si="1"/>
        <v>8</v>
      </c>
    </row>
    <row r="801" spans="1:6">
      <c r="A801">
        <v>5099932</v>
      </c>
      <c r="B801">
        <v>2015</v>
      </c>
      <c r="C801" s="10" t="s">
        <v>275</v>
      </c>
      <c r="D801" s="15">
        <v>76430.350000000006</v>
      </c>
      <c r="E801">
        <f>IFERROR(VLOOKUP(C801,'LEAID Match'!$A$2:$B$214,2,FALSE),"")</f>
        <v>5099932</v>
      </c>
      <c r="F801">
        <f t="shared" si="1"/>
        <v>8</v>
      </c>
    </row>
    <row r="802" spans="1:6">
      <c r="A802">
        <v>5099932</v>
      </c>
      <c r="B802">
        <v>2016</v>
      </c>
      <c r="C802" s="10" t="s">
        <v>275</v>
      </c>
      <c r="D802" s="15">
        <v>249823.79</v>
      </c>
      <c r="E802">
        <f>IFERROR(VLOOKUP(C802,'LEAID Match'!$A$2:$B$214,2,FALSE),"")</f>
        <v>5099932</v>
      </c>
      <c r="F802">
        <f t="shared" si="1"/>
        <v>8</v>
      </c>
    </row>
    <row r="803" spans="1:6">
      <c r="A803">
        <v>5099932</v>
      </c>
      <c r="B803">
        <v>2017</v>
      </c>
      <c r="C803" s="10" t="s">
        <v>275</v>
      </c>
      <c r="D803" s="15">
        <v>286862</v>
      </c>
      <c r="E803">
        <f>IFERROR(VLOOKUP(C803,'LEAID Match'!$A$2:$B$214,2,FALSE),"")</f>
        <v>5099932</v>
      </c>
      <c r="F803">
        <f t="shared" si="1"/>
        <v>8</v>
      </c>
    </row>
    <row r="804" spans="1:6">
      <c r="A804">
        <v>5099932</v>
      </c>
      <c r="B804">
        <v>2018</v>
      </c>
      <c r="C804" s="10" t="s">
        <v>275</v>
      </c>
      <c r="D804" s="15">
        <v>387774</v>
      </c>
      <c r="E804">
        <f>IFERROR(VLOOKUP(C804,'LEAID Match'!$A$2:$B$214,2,FALSE),"")</f>
        <v>5099932</v>
      </c>
      <c r="F804">
        <f t="shared" si="1"/>
        <v>8</v>
      </c>
    </row>
    <row r="805" spans="1:6">
      <c r="A805">
        <v>5099932</v>
      </c>
      <c r="B805">
        <v>2019</v>
      </c>
      <c r="C805" s="10" t="s">
        <v>275</v>
      </c>
      <c r="D805" s="15">
        <v>434551</v>
      </c>
      <c r="E805">
        <f>IFERROR(VLOOKUP(C805,'LEAID Match'!$A$2:$B$214,2,FALSE),"")</f>
        <v>5099932</v>
      </c>
      <c r="F805">
        <f t="shared" si="1"/>
        <v>8</v>
      </c>
    </row>
    <row r="806" spans="1:6">
      <c r="A806">
        <v>5099932</v>
      </c>
      <c r="B806">
        <v>2020</v>
      </c>
      <c r="C806" s="10" t="s">
        <v>275</v>
      </c>
      <c r="D806" s="15">
        <v>0</v>
      </c>
      <c r="E806">
        <f>IFERROR(VLOOKUP(C806,'LEAID Match'!$A$2:$B$214,2,FALSE),"")</f>
        <v>5099932</v>
      </c>
      <c r="F806">
        <f t="shared" si="1"/>
        <v>8</v>
      </c>
    </row>
    <row r="807" spans="1:6">
      <c r="A807">
        <v>5099932</v>
      </c>
      <c r="B807">
        <v>2021</v>
      </c>
      <c r="C807" s="10" t="s">
        <v>275</v>
      </c>
      <c r="D807" s="15">
        <v>0</v>
      </c>
      <c r="E807">
        <f>IFERROR(VLOOKUP(C807,'LEAID Match'!$A$2:$B$214,2,FALSE),"")</f>
        <v>5099932</v>
      </c>
      <c r="F807">
        <f t="shared" si="1"/>
        <v>8</v>
      </c>
    </row>
    <row r="808" spans="1:6">
      <c r="A808">
        <v>5099932</v>
      </c>
      <c r="B808">
        <v>2022</v>
      </c>
      <c r="C808" s="10" t="s">
        <v>275</v>
      </c>
      <c r="D808" s="15">
        <v>0</v>
      </c>
      <c r="E808">
        <f>IFERROR(VLOOKUP(C808,'LEAID Match'!$A$2:$B$214,2,FALSE),"")</f>
        <v>5099932</v>
      </c>
      <c r="F808">
        <f t="shared" si="1"/>
        <v>8</v>
      </c>
    </row>
    <row r="809" spans="1:6">
      <c r="A809">
        <v>5099929</v>
      </c>
      <c r="B809">
        <v>2015</v>
      </c>
      <c r="C809" s="10" t="s">
        <v>281</v>
      </c>
      <c r="D809" s="15">
        <v>137840.43</v>
      </c>
      <c r="E809">
        <f>IFERROR(VLOOKUP(C809,'LEAID Match'!$A$2:$B$214,2,FALSE),"")</f>
        <v>5099929</v>
      </c>
      <c r="F809">
        <f t="shared" si="1"/>
        <v>8</v>
      </c>
    </row>
    <row r="810" spans="1:6">
      <c r="A810">
        <v>5099929</v>
      </c>
      <c r="B810">
        <v>2016</v>
      </c>
      <c r="C810" s="10" t="s">
        <v>281</v>
      </c>
      <c r="D810" s="15">
        <v>143981</v>
      </c>
      <c r="E810">
        <f>IFERROR(VLOOKUP(C810,'LEAID Match'!$A$2:$B$214,2,FALSE),"")</f>
        <v>5099929</v>
      </c>
      <c r="F810">
        <f t="shared" si="1"/>
        <v>8</v>
      </c>
    </row>
    <row r="811" spans="1:6">
      <c r="A811">
        <v>5099929</v>
      </c>
      <c r="B811">
        <v>2017</v>
      </c>
      <c r="C811" s="10" t="s">
        <v>281</v>
      </c>
      <c r="D811" s="15">
        <v>136922</v>
      </c>
      <c r="E811">
        <f>IFERROR(VLOOKUP(C811,'LEAID Match'!$A$2:$B$214,2,FALSE),"")</f>
        <v>5099929</v>
      </c>
      <c r="F811">
        <f t="shared" si="1"/>
        <v>8</v>
      </c>
    </row>
    <row r="812" spans="1:6">
      <c r="A812">
        <v>5099929</v>
      </c>
      <c r="B812">
        <v>2018</v>
      </c>
      <c r="C812" s="10" t="s">
        <v>281</v>
      </c>
      <c r="D812" s="15">
        <v>212539</v>
      </c>
      <c r="E812">
        <f>IFERROR(VLOOKUP(C812,'LEAID Match'!$A$2:$B$214,2,FALSE),"")</f>
        <v>5099929</v>
      </c>
      <c r="F812">
        <f t="shared" si="1"/>
        <v>8</v>
      </c>
    </row>
    <row r="813" spans="1:6">
      <c r="A813">
        <v>5099929</v>
      </c>
      <c r="B813">
        <v>2019</v>
      </c>
      <c r="C813" s="10" t="s">
        <v>281</v>
      </c>
      <c r="D813" s="15">
        <v>0</v>
      </c>
      <c r="E813">
        <f>IFERROR(VLOOKUP(C813,'LEAID Match'!$A$2:$B$214,2,FALSE),"")</f>
        <v>5099929</v>
      </c>
      <c r="F813">
        <f t="shared" si="1"/>
        <v>8</v>
      </c>
    </row>
    <row r="814" spans="1:6">
      <c r="A814">
        <v>5099929</v>
      </c>
      <c r="B814">
        <v>2020</v>
      </c>
      <c r="C814" s="10" t="s">
        <v>281</v>
      </c>
      <c r="D814" s="15">
        <v>0</v>
      </c>
      <c r="E814">
        <f>IFERROR(VLOOKUP(C814,'LEAID Match'!$A$2:$B$214,2,FALSE),"")</f>
        <v>5099929</v>
      </c>
      <c r="F814">
        <f t="shared" si="1"/>
        <v>8</v>
      </c>
    </row>
    <row r="815" spans="1:6">
      <c r="A815">
        <v>5099929</v>
      </c>
      <c r="B815">
        <v>2021</v>
      </c>
      <c r="C815" s="10" t="s">
        <v>281</v>
      </c>
      <c r="D815" s="15">
        <v>0</v>
      </c>
      <c r="E815">
        <f>IFERROR(VLOOKUP(C815,'LEAID Match'!$A$2:$B$214,2,FALSE),"")</f>
        <v>5099929</v>
      </c>
      <c r="F815">
        <f t="shared" si="1"/>
        <v>8</v>
      </c>
    </row>
    <row r="816" spans="1:6">
      <c r="A816">
        <v>5099929</v>
      </c>
      <c r="B816">
        <v>2022</v>
      </c>
      <c r="C816" s="10" t="s">
        <v>281</v>
      </c>
      <c r="D816" s="15">
        <v>0</v>
      </c>
      <c r="E816">
        <f>IFERROR(VLOOKUP(C816,'LEAID Match'!$A$2:$B$214,2,FALSE),"")</f>
        <v>5099929</v>
      </c>
      <c r="F816">
        <f t="shared" si="1"/>
        <v>8</v>
      </c>
    </row>
    <row r="817" spans="1:6">
      <c r="A817">
        <v>5099927</v>
      </c>
      <c r="B817">
        <v>2015</v>
      </c>
      <c r="C817" s="10" t="s">
        <v>249</v>
      </c>
      <c r="D817" s="15">
        <v>89005.85</v>
      </c>
      <c r="E817">
        <f>IFERROR(VLOOKUP(C817,'LEAID Match'!$A$2:$B$214,2,FALSE),"")</f>
        <v>5099927</v>
      </c>
      <c r="F817">
        <f t="shared" si="1"/>
        <v>8</v>
      </c>
    </row>
    <row r="818" spans="1:6">
      <c r="A818">
        <v>5099927</v>
      </c>
      <c r="B818">
        <v>2016</v>
      </c>
      <c r="C818" s="10" t="s">
        <v>249</v>
      </c>
      <c r="D818" s="15">
        <v>86954.42</v>
      </c>
      <c r="E818">
        <f>IFERROR(VLOOKUP(C818,'LEAID Match'!$A$2:$B$214,2,FALSE),"")</f>
        <v>5099927</v>
      </c>
      <c r="F818">
        <f t="shared" si="1"/>
        <v>8</v>
      </c>
    </row>
    <row r="819" spans="1:6">
      <c r="A819">
        <v>5099927</v>
      </c>
      <c r="B819">
        <v>2017</v>
      </c>
      <c r="C819" s="10" t="s">
        <v>249</v>
      </c>
      <c r="D819" s="15">
        <v>169775</v>
      </c>
      <c r="E819">
        <f>IFERROR(VLOOKUP(C819,'LEAID Match'!$A$2:$B$214,2,FALSE),"")</f>
        <v>5099927</v>
      </c>
      <c r="F819">
        <f t="shared" si="1"/>
        <v>8</v>
      </c>
    </row>
    <row r="820" spans="1:6">
      <c r="A820">
        <v>5099927</v>
      </c>
      <c r="B820">
        <v>2018</v>
      </c>
      <c r="C820" s="10" t="s">
        <v>249</v>
      </c>
      <c r="D820" s="15">
        <v>318090</v>
      </c>
      <c r="E820">
        <f>IFERROR(VLOOKUP(C820,'LEAID Match'!$A$2:$B$214,2,FALSE),"")</f>
        <v>5099927</v>
      </c>
      <c r="F820">
        <f t="shared" si="1"/>
        <v>8</v>
      </c>
    </row>
    <row r="821" spans="1:6">
      <c r="A821">
        <v>5099927</v>
      </c>
      <c r="B821">
        <v>2019</v>
      </c>
      <c r="C821" s="10" t="s">
        <v>249</v>
      </c>
      <c r="D821" s="15">
        <v>359798</v>
      </c>
      <c r="E821">
        <f>IFERROR(VLOOKUP(C821,'LEAID Match'!$A$2:$B$214,2,FALSE),"")</f>
        <v>5099927</v>
      </c>
      <c r="F821">
        <f t="shared" si="1"/>
        <v>8</v>
      </c>
    </row>
    <row r="822" spans="1:6">
      <c r="A822">
        <v>5099927</v>
      </c>
      <c r="B822">
        <v>2020</v>
      </c>
      <c r="C822" s="10" t="s">
        <v>249</v>
      </c>
      <c r="D822" s="15">
        <v>504393</v>
      </c>
      <c r="E822">
        <f>IFERROR(VLOOKUP(C822,'LEAID Match'!$A$2:$B$214,2,FALSE),"")</f>
        <v>5099927</v>
      </c>
      <c r="F822">
        <f t="shared" si="1"/>
        <v>8</v>
      </c>
    </row>
    <row r="823" spans="1:6">
      <c r="A823">
        <v>5099927</v>
      </c>
      <c r="B823">
        <v>2021</v>
      </c>
      <c r="C823" s="10" t="s">
        <v>249</v>
      </c>
      <c r="D823" s="15">
        <v>511927</v>
      </c>
      <c r="E823">
        <f>IFERROR(VLOOKUP(C823,'LEAID Match'!$A$2:$B$214,2,FALSE),"")</f>
        <v>5099927</v>
      </c>
      <c r="F823">
        <f t="shared" si="1"/>
        <v>8</v>
      </c>
    </row>
    <row r="824" spans="1:6">
      <c r="A824">
        <v>5099927</v>
      </c>
      <c r="B824">
        <v>2022</v>
      </c>
      <c r="C824" s="10" t="s">
        <v>249</v>
      </c>
      <c r="D824" s="15">
        <v>1393261</v>
      </c>
      <c r="E824">
        <f>IFERROR(VLOOKUP(C824,'LEAID Match'!$A$2:$B$214,2,FALSE),"")</f>
        <v>5099927</v>
      </c>
      <c r="F824">
        <f t="shared" si="1"/>
        <v>8</v>
      </c>
    </row>
    <row r="825" spans="1:6">
      <c r="A825">
        <v>5099926</v>
      </c>
      <c r="B825">
        <v>2015</v>
      </c>
      <c r="C825" s="10" t="s">
        <v>243</v>
      </c>
      <c r="D825" s="15">
        <v>113499.03</v>
      </c>
      <c r="E825">
        <f>IFERROR(VLOOKUP(C825,'LEAID Match'!$A$2:$B$214,2,FALSE),"")</f>
        <v>5099926</v>
      </c>
      <c r="F825">
        <f t="shared" si="1"/>
        <v>8</v>
      </c>
    </row>
    <row r="826" spans="1:6">
      <c r="A826">
        <v>5099926</v>
      </c>
      <c r="B826">
        <v>2016</v>
      </c>
      <c r="C826" s="10" t="s">
        <v>243</v>
      </c>
      <c r="D826" s="15">
        <v>213686.34</v>
      </c>
      <c r="E826">
        <f>IFERROR(VLOOKUP(C826,'LEAID Match'!$A$2:$B$214,2,FALSE),"")</f>
        <v>5099926</v>
      </c>
      <c r="F826">
        <f t="shared" si="1"/>
        <v>8</v>
      </c>
    </row>
    <row r="827" spans="1:6">
      <c r="A827">
        <v>5099926</v>
      </c>
      <c r="B827">
        <v>2017</v>
      </c>
      <c r="C827" s="10" t="s">
        <v>243</v>
      </c>
      <c r="D827" s="15">
        <v>228919</v>
      </c>
      <c r="E827">
        <f>IFERROR(VLOOKUP(C827,'LEAID Match'!$A$2:$B$214,2,FALSE),"")</f>
        <v>5099926</v>
      </c>
      <c r="F827">
        <f t="shared" si="1"/>
        <v>8</v>
      </c>
    </row>
    <row r="828" spans="1:6">
      <c r="A828">
        <v>5099926</v>
      </c>
      <c r="B828">
        <v>2018</v>
      </c>
      <c r="C828" s="10" t="s">
        <v>243</v>
      </c>
      <c r="D828" s="15">
        <v>339590</v>
      </c>
      <c r="E828">
        <f>IFERROR(VLOOKUP(C828,'LEAID Match'!$A$2:$B$214,2,FALSE),"")</f>
        <v>5099926</v>
      </c>
      <c r="F828">
        <f t="shared" si="1"/>
        <v>8</v>
      </c>
    </row>
    <row r="829" spans="1:6">
      <c r="A829">
        <v>5099926</v>
      </c>
      <c r="B829">
        <v>2019</v>
      </c>
      <c r="C829" s="10" t="s">
        <v>243</v>
      </c>
      <c r="D829" s="15">
        <v>354184</v>
      </c>
      <c r="E829">
        <f>IFERROR(VLOOKUP(C829,'LEAID Match'!$A$2:$B$214,2,FALSE),"")</f>
        <v>5099926</v>
      </c>
      <c r="F829">
        <f t="shared" si="1"/>
        <v>8</v>
      </c>
    </row>
    <row r="830" spans="1:6">
      <c r="A830">
        <v>5099926</v>
      </c>
      <c r="B830">
        <v>2020</v>
      </c>
      <c r="C830" s="10" t="s">
        <v>243</v>
      </c>
      <c r="D830" s="15">
        <v>0</v>
      </c>
      <c r="E830">
        <f>IFERROR(VLOOKUP(C830,'LEAID Match'!$A$2:$B$214,2,FALSE),"")</f>
        <v>5099926</v>
      </c>
      <c r="F830">
        <f t="shared" si="1"/>
        <v>8</v>
      </c>
    </row>
    <row r="831" spans="1:6">
      <c r="A831">
        <v>5099926</v>
      </c>
      <c r="B831">
        <v>2021</v>
      </c>
      <c r="C831" s="10" t="s">
        <v>243</v>
      </c>
      <c r="D831" s="15">
        <v>0</v>
      </c>
      <c r="E831">
        <f>IFERROR(VLOOKUP(C831,'LEAID Match'!$A$2:$B$214,2,FALSE),"")</f>
        <v>5099926</v>
      </c>
      <c r="F831">
        <f t="shared" si="1"/>
        <v>8</v>
      </c>
    </row>
    <row r="832" spans="1:6">
      <c r="A832">
        <v>5099926</v>
      </c>
      <c r="B832">
        <v>2022</v>
      </c>
      <c r="C832" s="10" t="s">
        <v>243</v>
      </c>
      <c r="D832" s="15">
        <v>0</v>
      </c>
      <c r="E832">
        <f>IFERROR(VLOOKUP(C832,'LEAID Match'!$A$2:$B$214,2,FALSE),"")</f>
        <v>5099926</v>
      </c>
      <c r="F832">
        <f t="shared" si="1"/>
        <v>8</v>
      </c>
    </row>
    <row r="833" spans="1:6">
      <c r="A833">
        <v>5099925</v>
      </c>
      <c r="B833">
        <v>2015</v>
      </c>
      <c r="C833" s="10" t="s">
        <v>255</v>
      </c>
      <c r="D833" s="15">
        <v>24491.22</v>
      </c>
      <c r="E833">
        <f>IFERROR(VLOOKUP(C833,'LEAID Match'!$A$2:$B$214,2,FALSE),"")</f>
        <v>5099925</v>
      </c>
      <c r="F833">
        <f t="shared" si="1"/>
        <v>8</v>
      </c>
    </row>
    <row r="834" spans="1:6">
      <c r="A834">
        <v>5099925</v>
      </c>
      <c r="B834">
        <v>2016</v>
      </c>
      <c r="C834" s="10" t="s">
        <v>255</v>
      </c>
      <c r="D834" s="15">
        <v>28687.06</v>
      </c>
      <c r="E834">
        <f>IFERROR(VLOOKUP(C834,'LEAID Match'!$A$2:$B$214,2,FALSE),"")</f>
        <v>5099925</v>
      </c>
      <c r="F834">
        <f t="shared" ref="F834:F897" si="2">COUNTIF($A$705:$A$2272,A834)</f>
        <v>8</v>
      </c>
    </row>
    <row r="835" spans="1:6">
      <c r="A835">
        <v>5099925</v>
      </c>
      <c r="B835">
        <v>2017</v>
      </c>
      <c r="C835" s="10" t="s">
        <v>255</v>
      </c>
      <c r="D835" s="15">
        <v>250296</v>
      </c>
      <c r="E835">
        <f>IFERROR(VLOOKUP(C835,'LEAID Match'!$A$2:$B$214,2,FALSE),"")</f>
        <v>5099925</v>
      </c>
      <c r="F835">
        <f t="shared" si="2"/>
        <v>8</v>
      </c>
    </row>
    <row r="836" spans="1:6">
      <c r="A836">
        <v>5099925</v>
      </c>
      <c r="B836">
        <v>2018</v>
      </c>
      <c r="C836" s="10" t="s">
        <v>255</v>
      </c>
      <c r="D836" s="15">
        <v>343227</v>
      </c>
      <c r="E836">
        <f>IFERROR(VLOOKUP(C836,'LEAID Match'!$A$2:$B$214,2,FALSE),"")</f>
        <v>5099925</v>
      </c>
      <c r="F836">
        <f t="shared" si="2"/>
        <v>8</v>
      </c>
    </row>
    <row r="837" spans="1:6">
      <c r="A837">
        <v>5099925</v>
      </c>
      <c r="B837">
        <v>2019</v>
      </c>
      <c r="C837" s="10" t="s">
        <v>255</v>
      </c>
      <c r="D837" s="15">
        <v>358102</v>
      </c>
      <c r="E837">
        <f>IFERROR(VLOOKUP(C837,'LEAID Match'!$A$2:$B$214,2,FALSE),"")</f>
        <v>5099925</v>
      </c>
      <c r="F837">
        <f t="shared" si="2"/>
        <v>8</v>
      </c>
    </row>
    <row r="838" spans="1:6">
      <c r="A838">
        <v>5099925</v>
      </c>
      <c r="B838">
        <v>2020</v>
      </c>
      <c r="C838" s="10" t="s">
        <v>255</v>
      </c>
      <c r="D838" s="15">
        <v>370728</v>
      </c>
      <c r="E838">
        <f>IFERROR(VLOOKUP(C838,'LEAID Match'!$A$2:$B$214,2,FALSE),"")</f>
        <v>5099925</v>
      </c>
      <c r="F838">
        <f t="shared" si="2"/>
        <v>8</v>
      </c>
    </row>
    <row r="839" spans="1:6">
      <c r="A839">
        <v>5099925</v>
      </c>
      <c r="B839">
        <v>2021</v>
      </c>
      <c r="C839" s="10" t="s">
        <v>255</v>
      </c>
      <c r="D839" s="15">
        <v>400945</v>
      </c>
      <c r="E839">
        <f>IFERROR(VLOOKUP(C839,'LEAID Match'!$A$2:$B$214,2,FALSE),"")</f>
        <v>5099925</v>
      </c>
      <c r="F839">
        <f t="shared" si="2"/>
        <v>8</v>
      </c>
    </row>
    <row r="840" spans="1:6">
      <c r="A840">
        <v>5099925</v>
      </c>
      <c r="B840">
        <v>2022</v>
      </c>
      <c r="C840" s="10" t="s">
        <v>255</v>
      </c>
      <c r="D840" s="15">
        <v>1001868</v>
      </c>
      <c r="E840">
        <f>IFERROR(VLOOKUP(C840,'LEAID Match'!$A$2:$B$214,2,FALSE),"")</f>
        <v>5099925</v>
      </c>
      <c r="F840">
        <f t="shared" si="2"/>
        <v>8</v>
      </c>
    </row>
    <row r="841" spans="1:6">
      <c r="A841">
        <v>5099924</v>
      </c>
      <c r="B841">
        <v>2015</v>
      </c>
      <c r="C841" s="10" t="s">
        <v>208</v>
      </c>
      <c r="D841" s="15">
        <v>41201.29</v>
      </c>
      <c r="E841">
        <f>IFERROR(VLOOKUP(C841,'LEAID Match'!$A$2:$B$214,2,FALSE),"")</f>
        <v>5099924</v>
      </c>
      <c r="F841">
        <f t="shared" si="2"/>
        <v>8</v>
      </c>
    </row>
    <row r="842" spans="1:6">
      <c r="A842">
        <v>5099924</v>
      </c>
      <c r="B842">
        <v>2016</v>
      </c>
      <c r="C842" s="10" t="s">
        <v>208</v>
      </c>
      <c r="D842" s="15">
        <v>35207.74</v>
      </c>
      <c r="E842">
        <f>IFERROR(VLOOKUP(C842,'LEAID Match'!$A$2:$B$214,2,FALSE),"")</f>
        <v>5099924</v>
      </c>
      <c r="F842">
        <f t="shared" si="2"/>
        <v>8</v>
      </c>
    </row>
    <row r="843" spans="1:6">
      <c r="A843">
        <v>5099924</v>
      </c>
      <c r="B843">
        <v>2017</v>
      </c>
      <c r="C843" s="10" t="s">
        <v>208</v>
      </c>
      <c r="D843" s="15">
        <v>129256</v>
      </c>
      <c r="E843">
        <f>IFERROR(VLOOKUP(C843,'LEAID Match'!$A$2:$B$214,2,FALSE),"")</f>
        <v>5099924</v>
      </c>
      <c r="F843">
        <f t="shared" si="2"/>
        <v>8</v>
      </c>
    </row>
    <row r="844" spans="1:6">
      <c r="A844">
        <v>5099924</v>
      </c>
      <c r="B844">
        <v>2018</v>
      </c>
      <c r="C844" s="10" t="s">
        <v>208</v>
      </c>
      <c r="D844" s="15">
        <v>187816</v>
      </c>
      <c r="E844">
        <f>IFERROR(VLOOKUP(C844,'LEAID Match'!$A$2:$B$214,2,FALSE),"")</f>
        <v>5099924</v>
      </c>
      <c r="F844">
        <f t="shared" si="2"/>
        <v>8</v>
      </c>
    </row>
    <row r="845" spans="1:6">
      <c r="A845">
        <v>5099924</v>
      </c>
      <c r="B845">
        <v>2019</v>
      </c>
      <c r="C845" s="10" t="s">
        <v>208</v>
      </c>
      <c r="D845" s="15">
        <v>184120</v>
      </c>
      <c r="E845">
        <f>IFERROR(VLOOKUP(C845,'LEAID Match'!$A$2:$B$214,2,FALSE),"")</f>
        <v>5099924</v>
      </c>
      <c r="F845">
        <f t="shared" si="2"/>
        <v>8</v>
      </c>
    </row>
    <row r="846" spans="1:6">
      <c r="A846">
        <v>5099924</v>
      </c>
      <c r="B846">
        <v>2020</v>
      </c>
      <c r="C846" s="10" t="s">
        <v>208</v>
      </c>
      <c r="D846" s="15">
        <v>197202</v>
      </c>
      <c r="E846">
        <f>IFERROR(VLOOKUP(C846,'LEAID Match'!$A$2:$B$214,2,FALSE),"")</f>
        <v>5099924</v>
      </c>
      <c r="F846">
        <f t="shared" si="2"/>
        <v>8</v>
      </c>
    </row>
    <row r="847" spans="1:6">
      <c r="A847">
        <v>5099924</v>
      </c>
      <c r="B847">
        <v>2021</v>
      </c>
      <c r="C847" s="10" t="s">
        <v>208</v>
      </c>
      <c r="D847" s="15">
        <v>217361</v>
      </c>
      <c r="E847">
        <f>IFERROR(VLOOKUP(C847,'LEAID Match'!$A$2:$B$214,2,FALSE),"")</f>
        <v>5099924</v>
      </c>
      <c r="F847">
        <f t="shared" si="2"/>
        <v>8</v>
      </c>
    </row>
    <row r="848" spans="1:6">
      <c r="A848">
        <v>5099924</v>
      </c>
      <c r="B848">
        <v>2022</v>
      </c>
      <c r="C848" s="10" t="s">
        <v>208</v>
      </c>
      <c r="D848" s="15">
        <v>500328</v>
      </c>
      <c r="E848">
        <f>IFERROR(VLOOKUP(C848,'LEAID Match'!$A$2:$B$214,2,FALSE),"")</f>
        <v>5099924</v>
      </c>
      <c r="F848">
        <f t="shared" si="2"/>
        <v>8</v>
      </c>
    </row>
    <row r="849" spans="1:6">
      <c r="A849">
        <v>5099923</v>
      </c>
      <c r="B849">
        <v>2015</v>
      </c>
      <c r="C849" s="10" t="s">
        <v>237</v>
      </c>
      <c r="D849" s="15">
        <v>130561.42</v>
      </c>
      <c r="E849">
        <f>IFERROR(VLOOKUP(C849,'LEAID Match'!$A$2:$B$214,2,FALSE),"")</f>
        <v>5099923</v>
      </c>
      <c r="F849">
        <f t="shared" si="2"/>
        <v>8</v>
      </c>
    </row>
    <row r="850" spans="1:6">
      <c r="A850">
        <v>5099923</v>
      </c>
      <c r="B850">
        <v>2016</v>
      </c>
      <c r="C850" s="10" t="s">
        <v>237</v>
      </c>
      <c r="D850" s="15">
        <v>287876.7</v>
      </c>
      <c r="E850">
        <f>IFERROR(VLOOKUP(C850,'LEAID Match'!$A$2:$B$214,2,FALSE),"")</f>
        <v>5099923</v>
      </c>
      <c r="F850">
        <f t="shared" si="2"/>
        <v>8</v>
      </c>
    </row>
    <row r="851" spans="1:6">
      <c r="A851">
        <v>5099923</v>
      </c>
      <c r="B851">
        <v>2017</v>
      </c>
      <c r="C851" s="10" t="s">
        <v>237</v>
      </c>
      <c r="D851" s="15">
        <v>309005</v>
      </c>
      <c r="E851">
        <f>IFERROR(VLOOKUP(C851,'LEAID Match'!$A$2:$B$214,2,FALSE),"")</f>
        <v>5099923</v>
      </c>
      <c r="F851">
        <f t="shared" si="2"/>
        <v>8</v>
      </c>
    </row>
    <row r="852" spans="1:6">
      <c r="A852">
        <v>5099923</v>
      </c>
      <c r="B852">
        <v>2018</v>
      </c>
      <c r="C852" s="10" t="s">
        <v>237</v>
      </c>
      <c r="D852" s="15">
        <v>409237</v>
      </c>
      <c r="E852">
        <f>IFERROR(VLOOKUP(C852,'LEAID Match'!$A$2:$B$214,2,FALSE),"")</f>
        <v>5099923</v>
      </c>
      <c r="F852">
        <f t="shared" si="2"/>
        <v>8</v>
      </c>
    </row>
    <row r="853" spans="1:6">
      <c r="A853">
        <v>5099923</v>
      </c>
      <c r="B853">
        <v>2019</v>
      </c>
      <c r="C853" s="10" t="s">
        <v>237</v>
      </c>
      <c r="D853" s="15">
        <v>417160</v>
      </c>
      <c r="E853">
        <f>IFERROR(VLOOKUP(C853,'LEAID Match'!$A$2:$B$214,2,FALSE),"")</f>
        <v>5099923</v>
      </c>
      <c r="F853">
        <f t="shared" si="2"/>
        <v>8</v>
      </c>
    </row>
    <row r="854" spans="1:6">
      <c r="A854">
        <v>5099923</v>
      </c>
      <c r="B854">
        <v>2020</v>
      </c>
      <c r="C854" s="10" t="s">
        <v>237</v>
      </c>
      <c r="D854" s="15">
        <v>538697</v>
      </c>
      <c r="E854">
        <f>IFERROR(VLOOKUP(C854,'LEAID Match'!$A$2:$B$214,2,FALSE),"")</f>
        <v>5099923</v>
      </c>
      <c r="F854">
        <f t="shared" si="2"/>
        <v>8</v>
      </c>
    </row>
    <row r="855" spans="1:6">
      <c r="A855">
        <v>5099923</v>
      </c>
      <c r="B855">
        <v>2021</v>
      </c>
      <c r="C855" s="10" t="s">
        <v>237</v>
      </c>
      <c r="D855" s="15">
        <v>575358</v>
      </c>
      <c r="E855">
        <f>IFERROR(VLOOKUP(C855,'LEAID Match'!$A$2:$B$214,2,FALSE),"")</f>
        <v>5099923</v>
      </c>
      <c r="F855">
        <f t="shared" si="2"/>
        <v>8</v>
      </c>
    </row>
    <row r="856" spans="1:6">
      <c r="A856">
        <v>5099923</v>
      </c>
      <c r="B856">
        <v>2022</v>
      </c>
      <c r="C856" s="10" t="s">
        <v>237</v>
      </c>
      <c r="D856" s="15">
        <v>1653765</v>
      </c>
      <c r="E856">
        <f>IFERROR(VLOOKUP(C856,'LEAID Match'!$A$2:$B$214,2,FALSE),"")</f>
        <v>5099923</v>
      </c>
      <c r="F856">
        <f t="shared" si="2"/>
        <v>8</v>
      </c>
    </row>
    <row r="857" spans="1:6">
      <c r="A857">
        <v>5099922</v>
      </c>
      <c r="B857">
        <v>2015</v>
      </c>
      <c r="C857" s="10" t="s">
        <v>253</v>
      </c>
      <c r="D857" s="15">
        <v>198789.42</v>
      </c>
      <c r="E857">
        <f>IFERROR(VLOOKUP(C857,'LEAID Match'!$A$2:$B$214,2,FALSE),"")</f>
        <v>5099922</v>
      </c>
      <c r="F857">
        <f t="shared" si="2"/>
        <v>8</v>
      </c>
    </row>
    <row r="858" spans="1:6">
      <c r="A858">
        <v>5099922</v>
      </c>
      <c r="B858">
        <v>2016</v>
      </c>
      <c r="C858" s="10" t="s">
        <v>253</v>
      </c>
      <c r="D858" s="15">
        <v>210934.45</v>
      </c>
      <c r="E858">
        <f>IFERROR(VLOOKUP(C858,'LEAID Match'!$A$2:$B$214,2,FALSE),"")</f>
        <v>5099922</v>
      </c>
      <c r="F858">
        <f t="shared" si="2"/>
        <v>8</v>
      </c>
    </row>
    <row r="859" spans="1:6">
      <c r="A859">
        <v>5099922</v>
      </c>
      <c r="B859">
        <v>2017</v>
      </c>
      <c r="C859" s="10" t="s">
        <v>253</v>
      </c>
      <c r="D859" s="15">
        <v>225106</v>
      </c>
      <c r="E859">
        <f>IFERROR(VLOOKUP(C859,'LEAID Match'!$A$2:$B$214,2,FALSE),"")</f>
        <v>5099922</v>
      </c>
      <c r="F859">
        <f t="shared" si="2"/>
        <v>8</v>
      </c>
    </row>
    <row r="860" spans="1:6">
      <c r="A860">
        <v>5099922</v>
      </c>
      <c r="B860">
        <v>2018</v>
      </c>
      <c r="C860" s="10" t="s">
        <v>253</v>
      </c>
      <c r="D860" s="15">
        <v>319016</v>
      </c>
      <c r="E860">
        <f>IFERROR(VLOOKUP(C860,'LEAID Match'!$A$2:$B$214,2,FALSE),"")</f>
        <v>5099922</v>
      </c>
      <c r="F860">
        <f t="shared" si="2"/>
        <v>8</v>
      </c>
    </row>
    <row r="861" spans="1:6">
      <c r="A861">
        <v>5099922</v>
      </c>
      <c r="B861">
        <v>2019</v>
      </c>
      <c r="C861" s="10" t="s">
        <v>253</v>
      </c>
      <c r="D861" s="15">
        <v>345041</v>
      </c>
      <c r="E861">
        <f>IFERROR(VLOOKUP(C861,'LEAID Match'!$A$2:$B$214,2,FALSE),"")</f>
        <v>5099922</v>
      </c>
      <c r="F861">
        <f t="shared" si="2"/>
        <v>8</v>
      </c>
    </row>
    <row r="862" spans="1:6">
      <c r="A862">
        <v>5099922</v>
      </c>
      <c r="B862">
        <v>2020</v>
      </c>
      <c r="C862" s="10" t="s">
        <v>253</v>
      </c>
      <c r="D862" s="15">
        <v>359089</v>
      </c>
      <c r="E862">
        <f>IFERROR(VLOOKUP(C862,'LEAID Match'!$A$2:$B$214,2,FALSE),"")</f>
        <v>5099922</v>
      </c>
      <c r="F862">
        <f t="shared" si="2"/>
        <v>8</v>
      </c>
    </row>
    <row r="863" spans="1:6">
      <c r="A863">
        <v>5099922</v>
      </c>
      <c r="B863">
        <v>2021</v>
      </c>
      <c r="C863" s="10" t="s">
        <v>253</v>
      </c>
      <c r="D863" s="15">
        <v>390421</v>
      </c>
      <c r="E863">
        <f>IFERROR(VLOOKUP(C863,'LEAID Match'!$A$2:$B$214,2,FALSE),"")</f>
        <v>5099922</v>
      </c>
      <c r="F863">
        <f t="shared" si="2"/>
        <v>8</v>
      </c>
    </row>
    <row r="864" spans="1:6">
      <c r="A864">
        <v>5099922</v>
      </c>
      <c r="B864">
        <v>2022</v>
      </c>
      <c r="C864" s="10" t="s">
        <v>253</v>
      </c>
      <c r="D864" s="15">
        <v>970466</v>
      </c>
      <c r="E864">
        <f>IFERROR(VLOOKUP(C864,'LEAID Match'!$A$2:$B$214,2,FALSE),"")</f>
        <v>5099922</v>
      </c>
      <c r="F864">
        <f t="shared" si="2"/>
        <v>8</v>
      </c>
    </row>
    <row r="865" spans="1:6">
      <c r="A865">
        <v>5099921</v>
      </c>
      <c r="B865">
        <v>2015</v>
      </c>
      <c r="C865" s="10" t="s">
        <v>235</v>
      </c>
      <c r="D865" s="15">
        <v>141959.71</v>
      </c>
      <c r="E865">
        <f>IFERROR(VLOOKUP(C865,'LEAID Match'!$A$2:$B$214,2,FALSE),"")</f>
        <v>5099921</v>
      </c>
      <c r="F865">
        <f t="shared" si="2"/>
        <v>8</v>
      </c>
    </row>
    <row r="866" spans="1:6">
      <c r="A866">
        <v>5099921</v>
      </c>
      <c r="B866">
        <v>2016</v>
      </c>
      <c r="C866" s="10" t="s">
        <v>235</v>
      </c>
      <c r="D866" s="15">
        <v>373843.9</v>
      </c>
      <c r="E866">
        <f>IFERROR(VLOOKUP(C866,'LEAID Match'!$A$2:$B$214,2,FALSE),"")</f>
        <v>5099921</v>
      </c>
      <c r="F866">
        <f t="shared" si="2"/>
        <v>8</v>
      </c>
    </row>
    <row r="867" spans="1:6">
      <c r="A867">
        <v>5099921</v>
      </c>
      <c r="B867">
        <v>2017</v>
      </c>
      <c r="C867" s="10" t="s">
        <v>235</v>
      </c>
      <c r="D867" s="15">
        <v>416270</v>
      </c>
      <c r="E867">
        <f>IFERROR(VLOOKUP(C867,'LEAID Match'!$A$2:$B$214,2,FALSE),"")</f>
        <v>5099921</v>
      </c>
      <c r="F867">
        <f t="shared" si="2"/>
        <v>8</v>
      </c>
    </row>
    <row r="868" spans="1:6">
      <c r="A868">
        <v>5099921</v>
      </c>
      <c r="B868">
        <v>2018</v>
      </c>
      <c r="C868" s="10" t="s">
        <v>235</v>
      </c>
      <c r="D868" s="15">
        <v>645427</v>
      </c>
      <c r="E868">
        <f>IFERROR(VLOOKUP(C868,'LEAID Match'!$A$2:$B$214,2,FALSE),"")</f>
        <v>5099921</v>
      </c>
      <c r="F868">
        <f t="shared" si="2"/>
        <v>8</v>
      </c>
    </row>
    <row r="869" spans="1:6">
      <c r="A869">
        <v>5099921</v>
      </c>
      <c r="B869">
        <v>2019</v>
      </c>
      <c r="C869" s="10" t="s">
        <v>235</v>
      </c>
      <c r="D869" s="15">
        <v>663610</v>
      </c>
      <c r="E869">
        <f>IFERROR(VLOOKUP(C869,'LEAID Match'!$A$2:$B$214,2,FALSE),"")</f>
        <v>5099921</v>
      </c>
      <c r="F869">
        <f t="shared" si="2"/>
        <v>8</v>
      </c>
    </row>
    <row r="870" spans="1:6">
      <c r="A870">
        <v>5099921</v>
      </c>
      <c r="B870">
        <v>2020</v>
      </c>
      <c r="C870" s="10" t="s">
        <v>235</v>
      </c>
      <c r="D870" s="15">
        <v>0</v>
      </c>
      <c r="E870">
        <f>IFERROR(VLOOKUP(C870,'LEAID Match'!$A$2:$B$214,2,FALSE),"")</f>
        <v>5099921</v>
      </c>
      <c r="F870">
        <f t="shared" si="2"/>
        <v>8</v>
      </c>
    </row>
    <row r="871" spans="1:6">
      <c r="A871">
        <v>5099921</v>
      </c>
      <c r="B871">
        <v>2021</v>
      </c>
      <c r="C871" s="10" t="s">
        <v>235</v>
      </c>
      <c r="D871" s="15">
        <v>0</v>
      </c>
      <c r="E871">
        <f>IFERROR(VLOOKUP(C871,'LEAID Match'!$A$2:$B$214,2,FALSE),"")</f>
        <v>5099921</v>
      </c>
      <c r="F871">
        <f t="shared" si="2"/>
        <v>8</v>
      </c>
    </row>
    <row r="872" spans="1:6">
      <c r="A872">
        <v>5099921</v>
      </c>
      <c r="B872">
        <v>2022</v>
      </c>
      <c r="C872" s="10" t="s">
        <v>235</v>
      </c>
      <c r="D872" s="15">
        <v>0</v>
      </c>
      <c r="E872">
        <f>IFERROR(VLOOKUP(C872,'LEAID Match'!$A$2:$B$214,2,FALSE),"")</f>
        <v>5099921</v>
      </c>
      <c r="F872">
        <f t="shared" si="2"/>
        <v>8</v>
      </c>
    </row>
    <row r="873" spans="1:6">
      <c r="A873">
        <v>5099918</v>
      </c>
      <c r="B873">
        <v>2015</v>
      </c>
      <c r="C873" s="10" t="s">
        <v>240</v>
      </c>
      <c r="D873" s="15">
        <v>77705.22</v>
      </c>
      <c r="E873">
        <f>IFERROR(VLOOKUP(C873,'LEAID Match'!$A$2:$B$214,2,FALSE),"")</f>
        <v>5099918</v>
      </c>
      <c r="F873">
        <f t="shared" si="2"/>
        <v>8</v>
      </c>
    </row>
    <row r="874" spans="1:6">
      <c r="A874">
        <v>5099918</v>
      </c>
      <c r="B874">
        <v>2016</v>
      </c>
      <c r="C874" s="10" t="s">
        <v>240</v>
      </c>
      <c r="D874" s="15">
        <v>107091.09</v>
      </c>
      <c r="E874">
        <f>IFERROR(VLOOKUP(C874,'LEAID Match'!$A$2:$B$214,2,FALSE),"")</f>
        <v>5099918</v>
      </c>
      <c r="F874">
        <f t="shared" si="2"/>
        <v>8</v>
      </c>
    </row>
    <row r="875" spans="1:6">
      <c r="A875">
        <v>5099918</v>
      </c>
      <c r="B875">
        <v>2017</v>
      </c>
      <c r="C875" s="10" t="s">
        <v>240</v>
      </c>
      <c r="D875" s="15">
        <v>148184</v>
      </c>
      <c r="E875">
        <f>IFERROR(VLOOKUP(C875,'LEAID Match'!$A$2:$B$214,2,FALSE),"")</f>
        <v>5099918</v>
      </c>
      <c r="F875">
        <f t="shared" si="2"/>
        <v>8</v>
      </c>
    </row>
    <row r="876" spans="1:6">
      <c r="A876">
        <v>5099918</v>
      </c>
      <c r="B876">
        <v>2018</v>
      </c>
      <c r="C876" s="10" t="s">
        <v>240</v>
      </c>
      <c r="D876" s="15">
        <v>186622</v>
      </c>
      <c r="E876">
        <f>IFERROR(VLOOKUP(C876,'LEAID Match'!$A$2:$B$214,2,FALSE),"")</f>
        <v>5099918</v>
      </c>
      <c r="F876">
        <f t="shared" si="2"/>
        <v>8</v>
      </c>
    </row>
    <row r="877" spans="1:6">
      <c r="A877">
        <v>5099918</v>
      </c>
      <c r="B877">
        <v>2019</v>
      </c>
      <c r="C877" s="10" t="s">
        <v>240</v>
      </c>
      <c r="D877" s="15">
        <v>0</v>
      </c>
      <c r="E877">
        <f>IFERROR(VLOOKUP(C877,'LEAID Match'!$A$2:$B$214,2,FALSE),"")</f>
        <v>5099918</v>
      </c>
      <c r="F877">
        <f t="shared" si="2"/>
        <v>8</v>
      </c>
    </row>
    <row r="878" spans="1:6">
      <c r="A878">
        <v>5099918</v>
      </c>
      <c r="B878">
        <v>2020</v>
      </c>
      <c r="C878" s="10" t="s">
        <v>240</v>
      </c>
      <c r="D878" s="15">
        <v>0</v>
      </c>
      <c r="E878">
        <f>IFERROR(VLOOKUP(C878,'LEAID Match'!$A$2:$B$214,2,FALSE),"")</f>
        <v>5099918</v>
      </c>
      <c r="F878">
        <f t="shared" si="2"/>
        <v>8</v>
      </c>
    </row>
    <row r="879" spans="1:6">
      <c r="A879">
        <v>5099918</v>
      </c>
      <c r="B879">
        <v>2021</v>
      </c>
      <c r="C879" s="10" t="s">
        <v>240</v>
      </c>
      <c r="D879" s="15">
        <v>0</v>
      </c>
      <c r="E879">
        <f>IFERROR(VLOOKUP(C879,'LEAID Match'!$A$2:$B$214,2,FALSE),"")</f>
        <v>5099918</v>
      </c>
      <c r="F879">
        <f t="shared" si="2"/>
        <v>8</v>
      </c>
    </row>
    <row r="880" spans="1:6">
      <c r="A880">
        <v>5099918</v>
      </c>
      <c r="B880">
        <v>2022</v>
      </c>
      <c r="C880" s="10" t="s">
        <v>240</v>
      </c>
      <c r="D880" s="15">
        <v>0</v>
      </c>
      <c r="E880">
        <f>IFERROR(VLOOKUP(C880,'LEAID Match'!$A$2:$B$214,2,FALSE),"")</f>
        <v>5099918</v>
      </c>
      <c r="F880">
        <f t="shared" si="2"/>
        <v>8</v>
      </c>
    </row>
    <row r="881" spans="2:6">
      <c r="B881">
        <v>2015</v>
      </c>
      <c r="C881" s="10" t="s">
        <v>234</v>
      </c>
      <c r="D881" s="15">
        <v>494868.89</v>
      </c>
      <c r="E881">
        <f>IFERROR(VLOOKUP(C881,'LEAID Match'!$A$2:$B$214,2,FALSE),"")</f>
        <v>0</v>
      </c>
      <c r="F881">
        <f t="shared" si="2"/>
        <v>0</v>
      </c>
    </row>
    <row r="882" spans="2:6">
      <c r="B882">
        <v>2016</v>
      </c>
      <c r="C882" s="10" t="s">
        <v>234</v>
      </c>
      <c r="D882" s="15">
        <v>492810.41</v>
      </c>
      <c r="E882">
        <f>IFERROR(VLOOKUP(C882,'LEAID Match'!$A$2:$B$214,2,FALSE),"")</f>
        <v>0</v>
      </c>
      <c r="F882">
        <f t="shared" si="2"/>
        <v>0</v>
      </c>
    </row>
    <row r="883" spans="2:6">
      <c r="B883">
        <v>2017</v>
      </c>
      <c r="C883" s="10" t="s">
        <v>234</v>
      </c>
      <c r="D883" s="15">
        <v>543843</v>
      </c>
      <c r="E883">
        <f>IFERROR(VLOOKUP(C883,'LEAID Match'!$A$2:$B$214,2,FALSE),"")</f>
        <v>0</v>
      </c>
      <c r="F883">
        <f t="shared" si="2"/>
        <v>0</v>
      </c>
    </row>
    <row r="884" spans="2:6">
      <c r="B884">
        <v>2018</v>
      </c>
      <c r="C884" s="10" t="s">
        <v>234</v>
      </c>
      <c r="D884" s="15">
        <v>750141</v>
      </c>
      <c r="E884">
        <f>IFERROR(VLOOKUP(C884,'LEAID Match'!$A$2:$B$214,2,FALSE),"")</f>
        <v>0</v>
      </c>
      <c r="F884">
        <f t="shared" si="2"/>
        <v>0</v>
      </c>
    </row>
    <row r="885" spans="2:6">
      <c r="B885">
        <v>2019</v>
      </c>
      <c r="C885" s="10" t="s">
        <v>234</v>
      </c>
      <c r="D885" s="15">
        <v>793410</v>
      </c>
      <c r="E885">
        <f>IFERROR(VLOOKUP(C885,'LEAID Match'!$A$2:$B$214,2,FALSE),"")</f>
        <v>0</v>
      </c>
      <c r="F885">
        <f t="shared" si="2"/>
        <v>0</v>
      </c>
    </row>
    <row r="886" spans="2:6">
      <c r="B886">
        <v>2020</v>
      </c>
      <c r="C886" s="10" t="s">
        <v>234</v>
      </c>
      <c r="D886" s="15">
        <v>0</v>
      </c>
      <c r="E886">
        <f>IFERROR(VLOOKUP(C886,'LEAID Match'!$A$2:$B$214,2,FALSE),"")</f>
        <v>0</v>
      </c>
      <c r="F886">
        <f t="shared" si="2"/>
        <v>0</v>
      </c>
    </row>
    <row r="887" spans="2:6">
      <c r="B887">
        <v>2021</v>
      </c>
      <c r="C887" s="10" t="s">
        <v>234</v>
      </c>
      <c r="D887" s="15">
        <v>0</v>
      </c>
      <c r="E887">
        <f>IFERROR(VLOOKUP(C887,'LEAID Match'!$A$2:$B$214,2,FALSE),"")</f>
        <v>0</v>
      </c>
      <c r="F887">
        <f t="shared" si="2"/>
        <v>0</v>
      </c>
    </row>
    <row r="888" spans="2:6">
      <c r="B888">
        <v>2022</v>
      </c>
      <c r="C888" s="10" t="s">
        <v>234</v>
      </c>
      <c r="D888" s="15">
        <v>0</v>
      </c>
      <c r="E888">
        <f>IFERROR(VLOOKUP(C888,'LEAID Match'!$A$2:$B$214,2,FALSE),"")</f>
        <v>0</v>
      </c>
      <c r="F888">
        <f t="shared" si="2"/>
        <v>0</v>
      </c>
    </row>
    <row r="889" spans="2:6">
      <c r="B889">
        <v>2015</v>
      </c>
      <c r="C889" s="10" t="s">
        <v>343</v>
      </c>
      <c r="D889" s="15">
        <v>103491.18</v>
      </c>
      <c r="E889">
        <f>IFERROR(VLOOKUP(C889,'LEAID Match'!$A$2:$B$214,2,FALSE),"")</f>
        <v>0</v>
      </c>
      <c r="F889">
        <f t="shared" si="2"/>
        <v>0</v>
      </c>
    </row>
    <row r="890" spans="2:6">
      <c r="B890">
        <v>2016</v>
      </c>
      <c r="C890" s="10" t="s">
        <v>343</v>
      </c>
      <c r="E890">
        <f>IFERROR(VLOOKUP(C890,'LEAID Match'!$A$2:$B$214,2,FALSE),"")</f>
        <v>0</v>
      </c>
      <c r="F890">
        <f t="shared" si="2"/>
        <v>0</v>
      </c>
    </row>
    <row r="891" spans="2:6">
      <c r="B891">
        <v>2017</v>
      </c>
      <c r="C891" s="10" t="s">
        <v>343</v>
      </c>
      <c r="E891">
        <f>IFERROR(VLOOKUP(C891,'LEAID Match'!$A$2:$B$214,2,FALSE),"")</f>
        <v>0</v>
      </c>
      <c r="F891">
        <f t="shared" si="2"/>
        <v>0</v>
      </c>
    </row>
    <row r="892" spans="2:6">
      <c r="B892">
        <v>2018</v>
      </c>
      <c r="C892" s="10" t="s">
        <v>343</v>
      </c>
      <c r="E892">
        <f>IFERROR(VLOOKUP(C892,'LEAID Match'!$A$2:$B$214,2,FALSE),"")</f>
        <v>0</v>
      </c>
      <c r="F892">
        <f t="shared" si="2"/>
        <v>0</v>
      </c>
    </row>
    <row r="893" spans="2:6">
      <c r="B893">
        <v>2019</v>
      </c>
      <c r="C893" s="10" t="s">
        <v>343</v>
      </c>
      <c r="D893" s="15">
        <v>0</v>
      </c>
      <c r="E893">
        <f>IFERROR(VLOOKUP(C893,'LEAID Match'!$A$2:$B$214,2,FALSE),"")</f>
        <v>0</v>
      </c>
      <c r="F893">
        <f t="shared" si="2"/>
        <v>0</v>
      </c>
    </row>
    <row r="894" spans="2:6">
      <c r="B894">
        <v>2020</v>
      </c>
      <c r="C894" s="10" t="s">
        <v>343</v>
      </c>
      <c r="D894" s="15">
        <v>3427750</v>
      </c>
      <c r="E894">
        <f>IFERROR(VLOOKUP(C894,'LEAID Match'!$A$2:$B$214,2,FALSE),"")</f>
        <v>0</v>
      </c>
      <c r="F894">
        <f t="shared" si="2"/>
        <v>0</v>
      </c>
    </row>
    <row r="895" spans="2:6">
      <c r="B895">
        <v>2021</v>
      </c>
      <c r="C895" s="10" t="s">
        <v>343</v>
      </c>
      <c r="D895" s="15">
        <v>3481675</v>
      </c>
      <c r="E895">
        <f>IFERROR(VLOOKUP(C895,'LEAID Match'!$A$2:$B$214,2,FALSE),"")</f>
        <v>0</v>
      </c>
      <c r="F895">
        <f t="shared" si="2"/>
        <v>0</v>
      </c>
    </row>
    <row r="896" spans="2:6">
      <c r="B896">
        <v>2022</v>
      </c>
      <c r="C896" s="10" t="s">
        <v>343</v>
      </c>
      <c r="D896" s="15">
        <v>8697921</v>
      </c>
      <c r="E896">
        <f>IFERROR(VLOOKUP(C896,'LEAID Match'!$A$2:$B$214,2,FALSE),"")</f>
        <v>0</v>
      </c>
      <c r="F896">
        <f t="shared" si="2"/>
        <v>0</v>
      </c>
    </row>
    <row r="897" spans="1:6">
      <c r="A897">
        <v>5099909</v>
      </c>
      <c r="B897">
        <v>2015</v>
      </c>
      <c r="C897" s="10" t="s">
        <v>241</v>
      </c>
      <c r="D897" s="15">
        <v>81515.199999999997</v>
      </c>
      <c r="E897">
        <f>IFERROR(VLOOKUP(C897,'LEAID Match'!$A$2:$B$214,2,FALSE),"")</f>
        <v>5099909</v>
      </c>
      <c r="F897">
        <f t="shared" si="2"/>
        <v>8</v>
      </c>
    </row>
    <row r="898" spans="1:6">
      <c r="A898">
        <v>5099909</v>
      </c>
      <c r="B898">
        <v>2016</v>
      </c>
      <c r="C898" s="10" t="s">
        <v>241</v>
      </c>
      <c r="D898" s="15">
        <v>86006.63</v>
      </c>
      <c r="E898">
        <f>IFERROR(VLOOKUP(C898,'LEAID Match'!$A$2:$B$214,2,FALSE),"")</f>
        <v>5099909</v>
      </c>
      <c r="F898">
        <f t="shared" ref="F898:F961" si="3">COUNTIF($A$705:$A$2272,A898)</f>
        <v>8</v>
      </c>
    </row>
    <row r="899" spans="1:6">
      <c r="A899">
        <v>5099909</v>
      </c>
      <c r="B899">
        <v>2017</v>
      </c>
      <c r="C899" s="10" t="s">
        <v>241</v>
      </c>
      <c r="D899" s="15">
        <v>140756</v>
      </c>
      <c r="E899">
        <f>IFERROR(VLOOKUP(C899,'LEAID Match'!$A$2:$B$214,2,FALSE),"")</f>
        <v>5099909</v>
      </c>
      <c r="F899">
        <f t="shared" si="3"/>
        <v>8</v>
      </c>
    </row>
    <row r="900" spans="1:6">
      <c r="A900">
        <v>5099909</v>
      </c>
      <c r="B900">
        <v>2018</v>
      </c>
      <c r="C900" s="10" t="s">
        <v>241</v>
      </c>
      <c r="D900" s="15">
        <v>191604</v>
      </c>
      <c r="E900">
        <f>IFERROR(VLOOKUP(C900,'LEAID Match'!$A$2:$B$214,2,FALSE),"")</f>
        <v>5099909</v>
      </c>
      <c r="F900">
        <f t="shared" si="3"/>
        <v>8</v>
      </c>
    </row>
    <row r="901" spans="1:6">
      <c r="A901">
        <v>5099909</v>
      </c>
      <c r="B901">
        <v>2019</v>
      </c>
      <c r="C901" s="10" t="s">
        <v>241</v>
      </c>
      <c r="D901" s="15">
        <v>249386</v>
      </c>
      <c r="E901">
        <f>IFERROR(VLOOKUP(C901,'LEAID Match'!$A$2:$B$214,2,FALSE),"")</f>
        <v>5099909</v>
      </c>
      <c r="F901">
        <f t="shared" si="3"/>
        <v>8</v>
      </c>
    </row>
    <row r="902" spans="1:6">
      <c r="A902">
        <v>5099909</v>
      </c>
      <c r="B902">
        <v>2020</v>
      </c>
      <c r="C902" s="10" t="s">
        <v>241</v>
      </c>
      <c r="D902" s="15">
        <v>414151</v>
      </c>
      <c r="E902">
        <f>IFERROR(VLOOKUP(C902,'LEAID Match'!$A$2:$B$214,2,FALSE),"")</f>
        <v>5099909</v>
      </c>
      <c r="F902">
        <f t="shared" si="3"/>
        <v>8</v>
      </c>
    </row>
    <row r="903" spans="1:6">
      <c r="A903">
        <v>5099909</v>
      </c>
      <c r="B903">
        <v>2021</v>
      </c>
      <c r="C903" s="10" t="s">
        <v>241</v>
      </c>
      <c r="D903" s="15">
        <v>442952</v>
      </c>
      <c r="E903">
        <f>IFERROR(VLOOKUP(C903,'LEAID Match'!$A$2:$B$214,2,FALSE),"")</f>
        <v>5099909</v>
      </c>
      <c r="F903">
        <f t="shared" si="3"/>
        <v>8</v>
      </c>
    </row>
    <row r="904" spans="1:6">
      <c r="A904">
        <v>5099909</v>
      </c>
      <c r="B904">
        <v>2022</v>
      </c>
      <c r="C904" s="10" t="s">
        <v>241</v>
      </c>
      <c r="D904" s="15">
        <v>1155761</v>
      </c>
      <c r="E904">
        <f>IFERROR(VLOOKUP(C904,'LEAID Match'!$A$2:$B$214,2,FALSE),"")</f>
        <v>5099909</v>
      </c>
      <c r="F904">
        <f t="shared" si="3"/>
        <v>8</v>
      </c>
    </row>
    <row r="905" spans="1:6">
      <c r="A905">
        <v>5099908</v>
      </c>
      <c r="B905">
        <v>2015</v>
      </c>
      <c r="C905" s="10" t="s">
        <v>252</v>
      </c>
      <c r="D905" s="15">
        <v>222935.06</v>
      </c>
      <c r="E905">
        <f>IFERROR(VLOOKUP(C905,'LEAID Match'!$A$2:$B$214,2,FALSE),"")</f>
        <v>5099908</v>
      </c>
      <c r="F905">
        <f t="shared" si="3"/>
        <v>8</v>
      </c>
    </row>
    <row r="906" spans="1:6">
      <c r="A906">
        <v>5099908</v>
      </c>
      <c r="B906">
        <v>2016</v>
      </c>
      <c r="C906" s="10" t="s">
        <v>252</v>
      </c>
      <c r="D906" s="15">
        <v>223308.14</v>
      </c>
      <c r="E906">
        <f>IFERROR(VLOOKUP(C906,'LEAID Match'!$A$2:$B$214,2,FALSE),"")</f>
        <v>5099908</v>
      </c>
      <c r="F906">
        <f t="shared" si="3"/>
        <v>8</v>
      </c>
    </row>
    <row r="907" spans="1:6">
      <c r="A907">
        <v>5099908</v>
      </c>
      <c r="B907">
        <v>2017</v>
      </c>
      <c r="C907" s="10" t="s">
        <v>252</v>
      </c>
      <c r="D907" s="15">
        <v>228218</v>
      </c>
      <c r="E907">
        <f>IFERROR(VLOOKUP(C907,'LEAID Match'!$A$2:$B$214,2,FALSE),"")</f>
        <v>5099908</v>
      </c>
      <c r="F907">
        <f t="shared" si="3"/>
        <v>8</v>
      </c>
    </row>
    <row r="908" spans="1:6">
      <c r="A908">
        <v>5099908</v>
      </c>
      <c r="B908">
        <v>2018</v>
      </c>
      <c r="C908" s="10" t="s">
        <v>252</v>
      </c>
      <c r="D908" s="15">
        <v>313620</v>
      </c>
      <c r="E908">
        <f>IFERROR(VLOOKUP(C908,'LEAID Match'!$A$2:$B$214,2,FALSE),"")</f>
        <v>5099908</v>
      </c>
      <c r="F908">
        <f t="shared" si="3"/>
        <v>8</v>
      </c>
    </row>
    <row r="909" spans="1:6">
      <c r="A909">
        <v>5099908</v>
      </c>
      <c r="B909">
        <v>2019</v>
      </c>
      <c r="C909" s="10" t="s">
        <v>252</v>
      </c>
      <c r="D909" s="15">
        <v>0</v>
      </c>
      <c r="E909">
        <f>IFERROR(VLOOKUP(C909,'LEAID Match'!$A$2:$B$214,2,FALSE),"")</f>
        <v>5099908</v>
      </c>
      <c r="F909">
        <f t="shared" si="3"/>
        <v>8</v>
      </c>
    </row>
    <row r="910" spans="1:6">
      <c r="A910">
        <v>5099908</v>
      </c>
      <c r="B910">
        <v>2020</v>
      </c>
      <c r="C910" s="10" t="s">
        <v>252</v>
      </c>
      <c r="D910" s="15">
        <v>0</v>
      </c>
      <c r="E910">
        <f>IFERROR(VLOOKUP(C910,'LEAID Match'!$A$2:$B$214,2,FALSE),"")</f>
        <v>5099908</v>
      </c>
      <c r="F910">
        <f t="shared" si="3"/>
        <v>8</v>
      </c>
    </row>
    <row r="911" spans="1:6">
      <c r="A911">
        <v>5099908</v>
      </c>
      <c r="B911">
        <v>2021</v>
      </c>
      <c r="C911" s="10" t="s">
        <v>252</v>
      </c>
      <c r="D911" s="15">
        <v>0</v>
      </c>
      <c r="E911">
        <f>IFERROR(VLOOKUP(C911,'LEAID Match'!$A$2:$B$214,2,FALSE),"")</f>
        <v>5099908</v>
      </c>
      <c r="F911">
        <f t="shared" si="3"/>
        <v>8</v>
      </c>
    </row>
    <row r="912" spans="1:6">
      <c r="A912">
        <v>5099908</v>
      </c>
      <c r="B912">
        <v>2022</v>
      </c>
      <c r="C912" s="10" t="s">
        <v>252</v>
      </c>
      <c r="D912" s="15">
        <v>0</v>
      </c>
      <c r="E912">
        <f>IFERROR(VLOOKUP(C912,'LEAID Match'!$A$2:$B$214,2,FALSE),"")</f>
        <v>5099908</v>
      </c>
      <c r="F912">
        <f t="shared" si="3"/>
        <v>8</v>
      </c>
    </row>
    <row r="913" spans="1:6">
      <c r="A913">
        <v>5099906</v>
      </c>
      <c r="B913">
        <v>2015</v>
      </c>
      <c r="C913" s="10" t="s">
        <v>223</v>
      </c>
      <c r="D913" s="15">
        <v>158363.23000000001</v>
      </c>
      <c r="E913">
        <f>IFERROR(VLOOKUP(C913,'LEAID Match'!$A$2:$B$214,2,FALSE),"")</f>
        <v>5099906</v>
      </c>
      <c r="F913">
        <f t="shared" si="3"/>
        <v>8</v>
      </c>
    </row>
    <row r="914" spans="1:6">
      <c r="A914">
        <v>5099906</v>
      </c>
      <c r="B914">
        <v>2016</v>
      </c>
      <c r="C914" s="10" t="s">
        <v>223</v>
      </c>
      <c r="D914" s="15">
        <v>179749.84</v>
      </c>
      <c r="E914">
        <f>IFERROR(VLOOKUP(C914,'LEAID Match'!$A$2:$B$214,2,FALSE),"")</f>
        <v>5099906</v>
      </c>
      <c r="F914">
        <f t="shared" si="3"/>
        <v>8</v>
      </c>
    </row>
    <row r="915" spans="1:6">
      <c r="A915">
        <v>5099906</v>
      </c>
      <c r="B915">
        <v>2017</v>
      </c>
      <c r="C915" s="10" t="s">
        <v>223</v>
      </c>
      <c r="D915" s="15">
        <v>358569</v>
      </c>
      <c r="E915">
        <f>IFERROR(VLOOKUP(C915,'LEAID Match'!$A$2:$B$214,2,FALSE),"")</f>
        <v>5099906</v>
      </c>
      <c r="F915">
        <f t="shared" si="3"/>
        <v>8</v>
      </c>
    </row>
    <row r="916" spans="1:6">
      <c r="A916">
        <v>5099906</v>
      </c>
      <c r="B916">
        <v>2018</v>
      </c>
      <c r="C916" s="10" t="s">
        <v>223</v>
      </c>
      <c r="D916" s="15">
        <v>544913</v>
      </c>
      <c r="E916">
        <f>IFERROR(VLOOKUP(C916,'LEAID Match'!$A$2:$B$214,2,FALSE),"")</f>
        <v>5099906</v>
      </c>
      <c r="F916">
        <f t="shared" si="3"/>
        <v>8</v>
      </c>
    </row>
    <row r="917" spans="1:6">
      <c r="A917">
        <v>5099906</v>
      </c>
      <c r="B917">
        <v>2019</v>
      </c>
      <c r="C917" s="10" t="s">
        <v>223</v>
      </c>
      <c r="D917" s="15">
        <v>641482</v>
      </c>
      <c r="E917">
        <f>IFERROR(VLOOKUP(C917,'LEAID Match'!$A$2:$B$214,2,FALSE),"")</f>
        <v>5099906</v>
      </c>
      <c r="F917">
        <f t="shared" si="3"/>
        <v>8</v>
      </c>
    </row>
    <row r="918" spans="1:6">
      <c r="A918">
        <v>5099906</v>
      </c>
      <c r="B918">
        <v>2020</v>
      </c>
      <c r="C918" s="10" t="s">
        <v>223</v>
      </c>
      <c r="D918" s="15">
        <v>656665</v>
      </c>
      <c r="E918">
        <f>IFERROR(VLOOKUP(C918,'LEAID Match'!$A$2:$B$214,2,FALSE),"")</f>
        <v>5099906</v>
      </c>
      <c r="F918">
        <f t="shared" si="3"/>
        <v>8</v>
      </c>
    </row>
    <row r="919" spans="1:6">
      <c r="A919">
        <v>5099906</v>
      </c>
      <c r="B919">
        <v>2021</v>
      </c>
      <c r="C919" s="10" t="s">
        <v>223</v>
      </c>
      <c r="D919" s="15">
        <v>678252</v>
      </c>
      <c r="E919">
        <f>IFERROR(VLOOKUP(C919,'LEAID Match'!$A$2:$B$214,2,FALSE),"")</f>
        <v>5099906</v>
      </c>
      <c r="F919">
        <f t="shared" si="3"/>
        <v>8</v>
      </c>
    </row>
    <row r="920" spans="1:6">
      <c r="A920">
        <v>5099906</v>
      </c>
      <c r="B920">
        <v>2022</v>
      </c>
      <c r="C920" s="10" t="s">
        <v>223</v>
      </c>
      <c r="D920" s="15">
        <v>1836527</v>
      </c>
      <c r="E920">
        <f>IFERROR(VLOOKUP(C920,'LEAID Match'!$A$2:$B$214,2,FALSE),"")</f>
        <v>5099906</v>
      </c>
      <c r="F920">
        <f t="shared" si="3"/>
        <v>8</v>
      </c>
    </row>
    <row r="921" spans="1:6">
      <c r="A921">
        <v>5099905</v>
      </c>
      <c r="B921">
        <v>2015</v>
      </c>
      <c r="C921" s="10" t="s">
        <v>266</v>
      </c>
      <c r="D921" s="15">
        <v>614906.47</v>
      </c>
      <c r="E921">
        <f>IFERROR(VLOOKUP(C921,'LEAID Match'!$A$2:$B$214,2,FALSE),"")</f>
        <v>5099905</v>
      </c>
      <c r="F921">
        <f t="shared" si="3"/>
        <v>8</v>
      </c>
    </row>
    <row r="922" spans="1:6">
      <c r="A922">
        <v>5099905</v>
      </c>
      <c r="B922">
        <v>2016</v>
      </c>
      <c r="C922" s="10" t="s">
        <v>266</v>
      </c>
      <c r="D922" s="15">
        <v>646014.35</v>
      </c>
      <c r="E922">
        <f>IFERROR(VLOOKUP(C922,'LEAID Match'!$A$2:$B$214,2,FALSE),"")</f>
        <v>5099905</v>
      </c>
      <c r="F922">
        <f t="shared" si="3"/>
        <v>8</v>
      </c>
    </row>
    <row r="923" spans="1:6">
      <c r="A923">
        <v>5099905</v>
      </c>
      <c r="B923">
        <v>2017</v>
      </c>
      <c r="C923" s="10" t="s">
        <v>266</v>
      </c>
      <c r="D923" s="15">
        <v>698942</v>
      </c>
      <c r="E923">
        <f>IFERROR(VLOOKUP(C923,'LEAID Match'!$A$2:$B$214,2,FALSE),"")</f>
        <v>5099905</v>
      </c>
      <c r="F923">
        <f t="shared" si="3"/>
        <v>8</v>
      </c>
    </row>
    <row r="924" spans="1:6">
      <c r="A924">
        <v>5099905</v>
      </c>
      <c r="B924">
        <v>2018</v>
      </c>
      <c r="C924" s="10" t="s">
        <v>266</v>
      </c>
      <c r="D924" s="15">
        <v>997664</v>
      </c>
      <c r="E924">
        <f>IFERROR(VLOOKUP(C924,'LEAID Match'!$A$2:$B$214,2,FALSE),"")</f>
        <v>5099905</v>
      </c>
      <c r="F924">
        <f t="shared" si="3"/>
        <v>8</v>
      </c>
    </row>
    <row r="925" spans="1:6">
      <c r="A925">
        <v>5099905</v>
      </c>
      <c r="B925">
        <v>2019</v>
      </c>
      <c r="C925" s="10" t="s">
        <v>266</v>
      </c>
      <c r="D925" s="15">
        <v>997710</v>
      </c>
      <c r="E925">
        <f>IFERROR(VLOOKUP(C925,'LEAID Match'!$A$2:$B$214,2,FALSE),"")</f>
        <v>5099905</v>
      </c>
      <c r="F925">
        <f t="shared" si="3"/>
        <v>8</v>
      </c>
    </row>
    <row r="926" spans="1:6">
      <c r="A926">
        <v>5099905</v>
      </c>
      <c r="B926">
        <v>2020</v>
      </c>
      <c r="C926" s="10" t="s">
        <v>266</v>
      </c>
      <c r="D926" s="15">
        <v>1068099</v>
      </c>
      <c r="E926">
        <f>IFERROR(VLOOKUP(C926,'LEAID Match'!$A$2:$B$214,2,FALSE),"")</f>
        <v>5099905</v>
      </c>
      <c r="F926">
        <f t="shared" si="3"/>
        <v>8</v>
      </c>
    </row>
    <row r="927" spans="1:6">
      <c r="A927">
        <v>5099905</v>
      </c>
      <c r="B927">
        <v>2021</v>
      </c>
      <c r="C927" s="10" t="s">
        <v>266</v>
      </c>
      <c r="D927" s="15">
        <v>1048911</v>
      </c>
      <c r="E927">
        <f>IFERROR(VLOOKUP(C927,'LEAID Match'!$A$2:$B$214,2,FALSE),"")</f>
        <v>5099905</v>
      </c>
      <c r="F927">
        <f t="shared" si="3"/>
        <v>8</v>
      </c>
    </row>
    <row r="928" spans="1:6">
      <c r="A928">
        <v>5099905</v>
      </c>
      <c r="B928">
        <v>2022</v>
      </c>
      <c r="C928" s="10" t="s">
        <v>266</v>
      </c>
      <c r="D928" s="15">
        <v>2821029</v>
      </c>
      <c r="E928">
        <f>IFERROR(VLOOKUP(C928,'LEAID Match'!$A$2:$B$214,2,FALSE),"")</f>
        <v>5099905</v>
      </c>
      <c r="F928">
        <f t="shared" si="3"/>
        <v>8</v>
      </c>
    </row>
    <row r="929" spans="1:6">
      <c r="A929">
        <v>5099904</v>
      </c>
      <c r="B929">
        <v>2015</v>
      </c>
      <c r="C929" s="10" t="s">
        <v>232</v>
      </c>
      <c r="D929" s="15">
        <v>107542.35</v>
      </c>
      <c r="E929">
        <f>IFERROR(VLOOKUP(C929,'LEAID Match'!$A$2:$B$214,2,FALSE),"")</f>
        <v>5099904</v>
      </c>
      <c r="F929">
        <f t="shared" si="3"/>
        <v>8</v>
      </c>
    </row>
    <row r="930" spans="1:6">
      <c r="A930">
        <v>5099904</v>
      </c>
      <c r="B930">
        <v>2016</v>
      </c>
      <c r="C930" s="10" t="s">
        <v>232</v>
      </c>
      <c r="D930" s="15">
        <v>251023.88</v>
      </c>
      <c r="E930">
        <f>IFERROR(VLOOKUP(C930,'LEAID Match'!$A$2:$B$214,2,FALSE),"")</f>
        <v>5099904</v>
      </c>
      <c r="F930">
        <f t="shared" si="3"/>
        <v>8</v>
      </c>
    </row>
    <row r="931" spans="1:6">
      <c r="A931">
        <v>5099904</v>
      </c>
      <c r="B931">
        <v>2017</v>
      </c>
      <c r="C931" s="10" t="s">
        <v>232</v>
      </c>
      <c r="D931" s="15">
        <v>279929</v>
      </c>
      <c r="E931">
        <f>IFERROR(VLOOKUP(C931,'LEAID Match'!$A$2:$B$214,2,FALSE),"")</f>
        <v>5099904</v>
      </c>
      <c r="F931">
        <f t="shared" si="3"/>
        <v>8</v>
      </c>
    </row>
    <row r="932" spans="1:6">
      <c r="A932">
        <v>5099904</v>
      </c>
      <c r="B932">
        <v>2018</v>
      </c>
      <c r="C932" s="10" t="s">
        <v>232</v>
      </c>
      <c r="D932" s="15">
        <v>435904</v>
      </c>
      <c r="E932">
        <f>IFERROR(VLOOKUP(C932,'LEAID Match'!$A$2:$B$214,2,FALSE),"")</f>
        <v>5099904</v>
      </c>
      <c r="F932">
        <f t="shared" si="3"/>
        <v>8</v>
      </c>
    </row>
    <row r="933" spans="1:6">
      <c r="A933">
        <v>5099904</v>
      </c>
      <c r="B933">
        <v>2019</v>
      </c>
      <c r="C933" s="10" t="s">
        <v>232</v>
      </c>
      <c r="D933" s="15">
        <v>524541</v>
      </c>
      <c r="E933">
        <f>IFERROR(VLOOKUP(C933,'LEAID Match'!$A$2:$B$214,2,FALSE),"")</f>
        <v>5099904</v>
      </c>
      <c r="F933">
        <f t="shared" si="3"/>
        <v>8</v>
      </c>
    </row>
    <row r="934" spans="1:6">
      <c r="A934">
        <v>5099904</v>
      </c>
      <c r="B934">
        <v>2020</v>
      </c>
      <c r="C934" s="10" t="s">
        <v>232</v>
      </c>
      <c r="D934" s="15">
        <v>0</v>
      </c>
      <c r="E934">
        <f>IFERROR(VLOOKUP(C934,'LEAID Match'!$A$2:$B$214,2,FALSE),"")</f>
        <v>5099904</v>
      </c>
      <c r="F934">
        <f t="shared" si="3"/>
        <v>8</v>
      </c>
    </row>
    <row r="935" spans="1:6">
      <c r="A935">
        <v>5099904</v>
      </c>
      <c r="B935">
        <v>2021</v>
      </c>
      <c r="C935" s="10" t="s">
        <v>232</v>
      </c>
      <c r="D935" s="15">
        <v>0</v>
      </c>
      <c r="E935">
        <f>IFERROR(VLOOKUP(C935,'LEAID Match'!$A$2:$B$214,2,FALSE),"")</f>
        <v>5099904</v>
      </c>
      <c r="F935">
        <f t="shared" si="3"/>
        <v>8</v>
      </c>
    </row>
    <row r="936" spans="1:6">
      <c r="A936">
        <v>5099904</v>
      </c>
      <c r="B936">
        <v>2022</v>
      </c>
      <c r="C936" s="10" t="s">
        <v>232</v>
      </c>
      <c r="D936" s="15">
        <v>0</v>
      </c>
      <c r="E936">
        <f>IFERROR(VLOOKUP(C936,'LEAID Match'!$A$2:$B$214,2,FALSE),"")</f>
        <v>5099904</v>
      </c>
      <c r="F936">
        <f t="shared" si="3"/>
        <v>8</v>
      </c>
    </row>
    <row r="937" spans="1:6">
      <c r="A937">
        <v>5099901</v>
      </c>
      <c r="B937">
        <v>2015</v>
      </c>
      <c r="C937" s="10" t="s">
        <v>210</v>
      </c>
      <c r="D937" s="15">
        <v>139861.76000000001</v>
      </c>
      <c r="E937">
        <f>IFERROR(VLOOKUP(C937,'LEAID Match'!$A$2:$B$214,2,FALSE),"")</f>
        <v>5099901</v>
      </c>
      <c r="F937">
        <f t="shared" si="3"/>
        <v>8</v>
      </c>
    </row>
    <row r="938" spans="1:6">
      <c r="A938">
        <v>5099901</v>
      </c>
      <c r="B938">
        <v>2016</v>
      </c>
      <c r="C938" s="10" t="s">
        <v>210</v>
      </c>
      <c r="D938" s="15">
        <v>242414.21</v>
      </c>
      <c r="E938">
        <f>IFERROR(VLOOKUP(C938,'LEAID Match'!$A$2:$B$214,2,FALSE),"")</f>
        <v>5099901</v>
      </c>
      <c r="F938">
        <f t="shared" si="3"/>
        <v>8</v>
      </c>
    </row>
    <row r="939" spans="1:6">
      <c r="A939">
        <v>5099901</v>
      </c>
      <c r="B939">
        <v>2017</v>
      </c>
      <c r="C939" s="10" t="s">
        <v>210</v>
      </c>
      <c r="D939" s="15">
        <v>280006</v>
      </c>
      <c r="E939">
        <f>IFERROR(VLOOKUP(C939,'LEAID Match'!$A$2:$B$214,2,FALSE),"")</f>
        <v>5099901</v>
      </c>
      <c r="F939">
        <f t="shared" si="3"/>
        <v>8</v>
      </c>
    </row>
    <row r="940" spans="1:6">
      <c r="A940">
        <v>5099901</v>
      </c>
      <c r="B940">
        <v>2018</v>
      </c>
      <c r="C940" s="10" t="s">
        <v>210</v>
      </c>
      <c r="D940" s="15">
        <v>425068</v>
      </c>
      <c r="E940">
        <f>IFERROR(VLOOKUP(C940,'LEAID Match'!$A$2:$B$214,2,FALSE),"")</f>
        <v>5099901</v>
      </c>
      <c r="F940">
        <f t="shared" si="3"/>
        <v>8</v>
      </c>
    </row>
    <row r="941" spans="1:6">
      <c r="A941">
        <v>5099901</v>
      </c>
      <c r="B941">
        <v>2019</v>
      </c>
      <c r="C941" s="10" t="s">
        <v>210</v>
      </c>
      <c r="D941" s="15">
        <v>0</v>
      </c>
      <c r="E941">
        <f>IFERROR(VLOOKUP(C941,'LEAID Match'!$A$2:$B$214,2,FALSE),"")</f>
        <v>5099901</v>
      </c>
      <c r="F941">
        <f t="shared" si="3"/>
        <v>8</v>
      </c>
    </row>
    <row r="942" spans="1:6">
      <c r="A942">
        <v>5099901</v>
      </c>
      <c r="B942">
        <v>2020</v>
      </c>
      <c r="C942" s="10" t="s">
        <v>210</v>
      </c>
      <c r="D942" s="15">
        <v>0</v>
      </c>
      <c r="E942">
        <f>IFERROR(VLOOKUP(C942,'LEAID Match'!$A$2:$B$214,2,FALSE),"")</f>
        <v>5099901</v>
      </c>
      <c r="F942">
        <f t="shared" si="3"/>
        <v>8</v>
      </c>
    </row>
    <row r="943" spans="1:6">
      <c r="A943">
        <v>5099901</v>
      </c>
      <c r="B943">
        <v>2021</v>
      </c>
      <c r="C943" s="10" t="s">
        <v>210</v>
      </c>
      <c r="D943" s="15">
        <v>0</v>
      </c>
      <c r="E943">
        <f>IFERROR(VLOOKUP(C943,'LEAID Match'!$A$2:$B$214,2,FALSE),"")</f>
        <v>5099901</v>
      </c>
      <c r="F943">
        <f t="shared" si="3"/>
        <v>8</v>
      </c>
    </row>
    <row r="944" spans="1:6">
      <c r="A944">
        <v>5099901</v>
      </c>
      <c r="B944">
        <v>2022</v>
      </c>
      <c r="C944" s="10" t="s">
        <v>210</v>
      </c>
      <c r="D944" s="15">
        <v>0</v>
      </c>
      <c r="E944">
        <f>IFERROR(VLOOKUP(C944,'LEAID Match'!$A$2:$B$214,2,FALSE),"")</f>
        <v>5099901</v>
      </c>
      <c r="F944">
        <f t="shared" si="3"/>
        <v>8</v>
      </c>
    </row>
    <row r="945" spans="1:6">
      <c r="A945">
        <v>5009600</v>
      </c>
      <c r="B945">
        <v>2015</v>
      </c>
      <c r="C945" s="10" t="s">
        <v>226</v>
      </c>
      <c r="D945" s="15">
        <v>939843.64</v>
      </c>
      <c r="E945">
        <f>IFERROR(VLOOKUP(C945,'LEAID Match'!$A$2:$B$214,2,FALSE),"")</f>
        <v>5009600</v>
      </c>
      <c r="F945">
        <f t="shared" si="3"/>
        <v>8</v>
      </c>
    </row>
    <row r="946" spans="1:6">
      <c r="A946">
        <v>5009600</v>
      </c>
      <c r="B946">
        <v>2016</v>
      </c>
      <c r="C946" s="10" t="s">
        <v>226</v>
      </c>
      <c r="D946" s="15">
        <v>884150.57</v>
      </c>
      <c r="E946">
        <f>IFERROR(VLOOKUP(C946,'LEAID Match'!$A$2:$B$214,2,FALSE),"")</f>
        <v>5009600</v>
      </c>
      <c r="F946">
        <f t="shared" si="3"/>
        <v>8</v>
      </c>
    </row>
    <row r="947" spans="1:6">
      <c r="A947">
        <v>5009600</v>
      </c>
      <c r="B947">
        <v>2017</v>
      </c>
      <c r="C947" s="10" t="s">
        <v>226</v>
      </c>
      <c r="D947" s="15">
        <v>774025</v>
      </c>
      <c r="E947">
        <f>IFERROR(VLOOKUP(C947,'LEAID Match'!$A$2:$B$214,2,FALSE),"")</f>
        <v>5009600</v>
      </c>
      <c r="F947">
        <f t="shared" si="3"/>
        <v>8</v>
      </c>
    </row>
    <row r="948" spans="1:6">
      <c r="A948">
        <v>5009600</v>
      </c>
      <c r="B948">
        <v>2018</v>
      </c>
      <c r="C948" s="10" t="s">
        <v>226</v>
      </c>
      <c r="D948" s="15">
        <v>1042117</v>
      </c>
      <c r="E948">
        <f>IFERROR(VLOOKUP(C948,'LEAID Match'!$A$2:$B$214,2,FALSE),"")</f>
        <v>5009600</v>
      </c>
      <c r="F948">
        <f t="shared" si="3"/>
        <v>8</v>
      </c>
    </row>
    <row r="949" spans="1:6">
      <c r="A949">
        <v>5009600</v>
      </c>
      <c r="B949">
        <v>2019</v>
      </c>
      <c r="C949" s="10" t="s">
        <v>226</v>
      </c>
      <c r="D949" s="15">
        <v>1032044</v>
      </c>
      <c r="E949">
        <f>IFERROR(VLOOKUP(C949,'LEAID Match'!$A$2:$B$214,2,FALSE),"")</f>
        <v>5009600</v>
      </c>
      <c r="F949">
        <f t="shared" si="3"/>
        <v>8</v>
      </c>
    </row>
    <row r="950" spans="1:6">
      <c r="A950">
        <v>5009600</v>
      </c>
      <c r="B950">
        <v>2020</v>
      </c>
      <c r="C950" s="10" t="s">
        <v>226</v>
      </c>
      <c r="D950" s="15">
        <v>1129851</v>
      </c>
      <c r="E950">
        <f>IFERROR(VLOOKUP(C950,'LEAID Match'!$A$2:$B$214,2,FALSE),"")</f>
        <v>5009600</v>
      </c>
      <c r="F950">
        <f t="shared" si="3"/>
        <v>8</v>
      </c>
    </row>
    <row r="951" spans="1:6">
      <c r="A951">
        <v>5009600</v>
      </c>
      <c r="B951">
        <v>2021</v>
      </c>
      <c r="C951" s="10" t="s">
        <v>226</v>
      </c>
      <c r="D951" s="15">
        <v>1220370</v>
      </c>
      <c r="E951">
        <f>IFERROR(VLOOKUP(C951,'LEAID Match'!$A$2:$B$214,2,FALSE),"")</f>
        <v>5009600</v>
      </c>
      <c r="F951">
        <f t="shared" si="3"/>
        <v>8</v>
      </c>
    </row>
    <row r="952" spans="1:6">
      <c r="A952">
        <v>5009600</v>
      </c>
      <c r="B952">
        <v>2022</v>
      </c>
      <c r="C952" s="10" t="s">
        <v>226</v>
      </c>
      <c r="D952" s="15">
        <v>2995118</v>
      </c>
      <c r="E952">
        <f>IFERROR(VLOOKUP(C952,'LEAID Match'!$A$2:$B$214,2,FALSE),"")</f>
        <v>5009600</v>
      </c>
      <c r="F952">
        <f t="shared" si="3"/>
        <v>8</v>
      </c>
    </row>
    <row r="953" spans="1:6">
      <c r="A953">
        <v>5009540</v>
      </c>
      <c r="B953">
        <v>2015</v>
      </c>
      <c r="C953" s="10" t="s">
        <v>195</v>
      </c>
      <c r="D953" s="15">
        <v>62652.53</v>
      </c>
      <c r="E953">
        <f>IFERROR(VLOOKUP(C953,'LEAID Match'!$A$2:$B$214,2,FALSE),"")</f>
        <v>5009540</v>
      </c>
      <c r="F953">
        <f t="shared" si="3"/>
        <v>8</v>
      </c>
    </row>
    <row r="954" spans="1:6">
      <c r="A954">
        <v>5009540</v>
      </c>
      <c r="B954">
        <v>2016</v>
      </c>
      <c r="C954" s="10" t="s">
        <v>195</v>
      </c>
      <c r="D954" s="15">
        <v>59490.68</v>
      </c>
      <c r="E954">
        <f>IFERROR(VLOOKUP(C954,'LEAID Match'!$A$2:$B$214,2,FALSE),"")</f>
        <v>5009540</v>
      </c>
      <c r="F954">
        <f t="shared" si="3"/>
        <v>8</v>
      </c>
    </row>
    <row r="955" spans="1:6">
      <c r="A955">
        <v>5009540</v>
      </c>
      <c r="B955">
        <v>2017</v>
      </c>
      <c r="C955" s="10" t="s">
        <v>195</v>
      </c>
      <c r="D955" s="15">
        <v>64956</v>
      </c>
      <c r="E955">
        <f>IFERROR(VLOOKUP(C955,'LEAID Match'!$A$2:$B$214,2,FALSE),"")</f>
        <v>5009540</v>
      </c>
      <c r="F955">
        <f t="shared" si="3"/>
        <v>8</v>
      </c>
    </row>
    <row r="956" spans="1:6">
      <c r="A956">
        <v>5009540</v>
      </c>
      <c r="B956">
        <v>2018</v>
      </c>
      <c r="C956" s="10" t="s">
        <v>195</v>
      </c>
      <c r="D956" s="15">
        <v>90831</v>
      </c>
      <c r="E956">
        <f>IFERROR(VLOOKUP(C956,'LEAID Match'!$A$2:$B$214,2,FALSE),"")</f>
        <v>5009540</v>
      </c>
      <c r="F956">
        <f t="shared" si="3"/>
        <v>8</v>
      </c>
    </row>
    <row r="957" spans="1:6">
      <c r="A957">
        <v>5009540</v>
      </c>
      <c r="B957">
        <v>2019</v>
      </c>
      <c r="C957" s="10" t="s">
        <v>195</v>
      </c>
      <c r="D957" s="15">
        <v>96566</v>
      </c>
      <c r="E957">
        <f>IFERROR(VLOOKUP(C957,'LEAID Match'!$A$2:$B$214,2,FALSE),"")</f>
        <v>5009540</v>
      </c>
      <c r="F957">
        <f t="shared" si="3"/>
        <v>8</v>
      </c>
    </row>
    <row r="958" spans="1:6">
      <c r="A958">
        <v>5009540</v>
      </c>
      <c r="B958">
        <v>2020</v>
      </c>
      <c r="C958" s="10" t="s">
        <v>195</v>
      </c>
      <c r="D958" s="15">
        <v>0</v>
      </c>
      <c r="E958">
        <f>IFERROR(VLOOKUP(C958,'LEAID Match'!$A$2:$B$214,2,FALSE),"")</f>
        <v>5009540</v>
      </c>
      <c r="F958">
        <f t="shared" si="3"/>
        <v>8</v>
      </c>
    </row>
    <row r="959" spans="1:6">
      <c r="A959">
        <v>5009540</v>
      </c>
      <c r="B959">
        <v>2021</v>
      </c>
      <c r="C959" s="10" t="s">
        <v>195</v>
      </c>
      <c r="D959" s="15">
        <v>0</v>
      </c>
      <c r="E959">
        <f>IFERROR(VLOOKUP(C959,'LEAID Match'!$A$2:$B$214,2,FALSE),"")</f>
        <v>5009540</v>
      </c>
      <c r="F959">
        <f t="shared" si="3"/>
        <v>8</v>
      </c>
    </row>
    <row r="960" spans="1:6">
      <c r="A960">
        <v>5009540</v>
      </c>
      <c r="B960">
        <v>2022</v>
      </c>
      <c r="C960" s="10" t="s">
        <v>195</v>
      </c>
      <c r="D960" s="15">
        <v>0</v>
      </c>
      <c r="E960">
        <f>IFERROR(VLOOKUP(C960,'LEAID Match'!$A$2:$B$214,2,FALSE),"")</f>
        <v>5009540</v>
      </c>
      <c r="F960">
        <f t="shared" si="3"/>
        <v>8</v>
      </c>
    </row>
    <row r="961" spans="1:6">
      <c r="A961">
        <v>5009510</v>
      </c>
      <c r="B961">
        <v>2015</v>
      </c>
      <c r="C961" s="10" t="s">
        <v>220</v>
      </c>
      <c r="D961" s="15">
        <v>449255.48</v>
      </c>
      <c r="E961">
        <f>IFERROR(VLOOKUP(C961,'LEAID Match'!$A$2:$B$214,2,FALSE),"")</f>
        <v>5009510</v>
      </c>
      <c r="F961">
        <f t="shared" si="3"/>
        <v>8</v>
      </c>
    </row>
    <row r="962" spans="1:6">
      <c r="A962">
        <v>5009510</v>
      </c>
      <c r="B962">
        <v>2016</v>
      </c>
      <c r="C962" s="10" t="s">
        <v>220</v>
      </c>
      <c r="D962" s="15">
        <v>404169.32</v>
      </c>
      <c r="E962">
        <f>IFERROR(VLOOKUP(C962,'LEAID Match'!$A$2:$B$214,2,FALSE),"")</f>
        <v>5009510</v>
      </c>
      <c r="F962">
        <f t="shared" ref="F962:F1025" si="4">COUNTIF($A$705:$A$2272,A962)</f>
        <v>8</v>
      </c>
    </row>
    <row r="963" spans="1:6">
      <c r="A963">
        <v>5009510</v>
      </c>
      <c r="B963">
        <v>2017</v>
      </c>
      <c r="C963" s="10" t="s">
        <v>220</v>
      </c>
      <c r="D963" s="15">
        <v>423694</v>
      </c>
      <c r="E963">
        <f>IFERROR(VLOOKUP(C963,'LEAID Match'!$A$2:$B$214,2,FALSE),"")</f>
        <v>5009510</v>
      </c>
      <c r="F963">
        <f t="shared" si="4"/>
        <v>8</v>
      </c>
    </row>
    <row r="964" spans="1:6">
      <c r="A964">
        <v>5009510</v>
      </c>
      <c r="B964">
        <v>2018</v>
      </c>
      <c r="C964" s="10" t="s">
        <v>220</v>
      </c>
      <c r="D964" s="15">
        <v>608123</v>
      </c>
      <c r="E964">
        <f>IFERROR(VLOOKUP(C964,'LEAID Match'!$A$2:$B$214,2,FALSE),"")</f>
        <v>5009510</v>
      </c>
      <c r="F964">
        <f t="shared" si="4"/>
        <v>8</v>
      </c>
    </row>
    <row r="965" spans="1:6">
      <c r="A965">
        <v>5009510</v>
      </c>
      <c r="B965">
        <v>2019</v>
      </c>
      <c r="C965" s="10" t="s">
        <v>220</v>
      </c>
      <c r="D965" s="15">
        <v>0</v>
      </c>
      <c r="E965">
        <f>IFERROR(VLOOKUP(C965,'LEAID Match'!$A$2:$B$214,2,FALSE),"")</f>
        <v>5009510</v>
      </c>
      <c r="F965">
        <f t="shared" si="4"/>
        <v>8</v>
      </c>
    </row>
    <row r="966" spans="1:6">
      <c r="A966">
        <v>5009510</v>
      </c>
      <c r="B966">
        <v>2020</v>
      </c>
      <c r="C966" s="10" t="s">
        <v>220</v>
      </c>
      <c r="D966" s="15">
        <v>0</v>
      </c>
      <c r="E966">
        <f>IFERROR(VLOOKUP(C966,'LEAID Match'!$A$2:$B$214,2,FALSE),"")</f>
        <v>5009510</v>
      </c>
      <c r="F966">
        <f t="shared" si="4"/>
        <v>8</v>
      </c>
    </row>
    <row r="967" spans="1:6">
      <c r="A967">
        <v>5009510</v>
      </c>
      <c r="B967">
        <v>2021</v>
      </c>
      <c r="C967" s="10" t="s">
        <v>220</v>
      </c>
      <c r="D967" s="15">
        <v>0</v>
      </c>
      <c r="E967">
        <f>IFERROR(VLOOKUP(C967,'LEAID Match'!$A$2:$B$214,2,FALSE),"")</f>
        <v>5009510</v>
      </c>
      <c r="F967">
        <f t="shared" si="4"/>
        <v>8</v>
      </c>
    </row>
    <row r="968" spans="1:6">
      <c r="A968">
        <v>5009510</v>
      </c>
      <c r="B968">
        <v>2022</v>
      </c>
      <c r="C968" s="10" t="s">
        <v>220</v>
      </c>
      <c r="D968" s="15">
        <v>0</v>
      </c>
      <c r="E968">
        <f>IFERROR(VLOOKUP(C968,'LEAID Match'!$A$2:$B$214,2,FALSE),"")</f>
        <v>5009510</v>
      </c>
      <c r="F968">
        <f t="shared" si="4"/>
        <v>8</v>
      </c>
    </row>
    <row r="969" spans="1:6">
      <c r="A969">
        <v>5009480</v>
      </c>
      <c r="B969">
        <v>2015</v>
      </c>
      <c r="C969" s="10" t="s">
        <v>194</v>
      </c>
      <c r="D969" s="15">
        <v>157988.42000000001</v>
      </c>
      <c r="E969">
        <f>IFERROR(VLOOKUP(C969,'LEAID Match'!$A$2:$B$214,2,FALSE),"")</f>
        <v>5009480</v>
      </c>
      <c r="F969">
        <f t="shared" si="4"/>
        <v>8</v>
      </c>
    </row>
    <row r="970" spans="1:6">
      <c r="A970">
        <v>5009480</v>
      </c>
      <c r="B970">
        <v>2016</v>
      </c>
      <c r="C970" s="10" t="s">
        <v>194</v>
      </c>
      <c r="D970" s="15">
        <v>141209.07</v>
      </c>
      <c r="E970">
        <f>IFERROR(VLOOKUP(C970,'LEAID Match'!$A$2:$B$214,2,FALSE),"")</f>
        <v>5009480</v>
      </c>
      <c r="F970">
        <f t="shared" si="4"/>
        <v>8</v>
      </c>
    </row>
    <row r="971" spans="1:6">
      <c r="A971">
        <v>5009480</v>
      </c>
      <c r="B971">
        <v>2017</v>
      </c>
      <c r="C971" s="10" t="s">
        <v>194</v>
      </c>
      <c r="D971" s="15">
        <v>138998</v>
      </c>
      <c r="E971">
        <f>IFERROR(VLOOKUP(C971,'LEAID Match'!$A$2:$B$214,2,FALSE),"")</f>
        <v>5009480</v>
      </c>
      <c r="F971">
        <f t="shared" si="4"/>
        <v>8</v>
      </c>
    </row>
    <row r="972" spans="1:6">
      <c r="A972">
        <v>5009480</v>
      </c>
      <c r="B972">
        <v>2018</v>
      </c>
      <c r="C972" s="10" t="s">
        <v>194</v>
      </c>
      <c r="D972" s="15">
        <v>190154</v>
      </c>
      <c r="E972">
        <f>IFERROR(VLOOKUP(C972,'LEAID Match'!$A$2:$B$214,2,FALSE),"")</f>
        <v>5009480</v>
      </c>
      <c r="F972">
        <f t="shared" si="4"/>
        <v>8</v>
      </c>
    </row>
    <row r="973" spans="1:6">
      <c r="A973">
        <v>5009480</v>
      </c>
      <c r="B973">
        <v>2019</v>
      </c>
      <c r="C973" s="10" t="s">
        <v>194</v>
      </c>
      <c r="D973" s="15">
        <v>0</v>
      </c>
      <c r="E973">
        <f>IFERROR(VLOOKUP(C973,'LEAID Match'!$A$2:$B$214,2,FALSE),"")</f>
        <v>5009480</v>
      </c>
      <c r="F973">
        <f t="shared" si="4"/>
        <v>8</v>
      </c>
    </row>
    <row r="974" spans="1:6">
      <c r="A974">
        <v>5009480</v>
      </c>
      <c r="B974">
        <v>2020</v>
      </c>
      <c r="C974" s="10" t="s">
        <v>194</v>
      </c>
      <c r="D974" s="15">
        <v>0</v>
      </c>
      <c r="E974">
        <f>IFERROR(VLOOKUP(C974,'LEAID Match'!$A$2:$B$214,2,FALSE),"")</f>
        <v>5009480</v>
      </c>
      <c r="F974">
        <f t="shared" si="4"/>
        <v>8</v>
      </c>
    </row>
    <row r="975" spans="1:6">
      <c r="A975">
        <v>5009480</v>
      </c>
      <c r="B975">
        <v>2021</v>
      </c>
      <c r="C975" s="10" t="s">
        <v>194</v>
      </c>
      <c r="D975" s="15">
        <v>0</v>
      </c>
      <c r="E975">
        <f>IFERROR(VLOOKUP(C975,'LEAID Match'!$A$2:$B$214,2,FALSE),"")</f>
        <v>5009480</v>
      </c>
      <c r="F975">
        <f t="shared" si="4"/>
        <v>8</v>
      </c>
    </row>
    <row r="976" spans="1:6">
      <c r="A976">
        <v>5009480</v>
      </c>
      <c r="B976">
        <v>2022</v>
      </c>
      <c r="C976" s="10" t="s">
        <v>194</v>
      </c>
      <c r="D976" s="15">
        <v>0</v>
      </c>
      <c r="E976">
        <f>IFERROR(VLOOKUP(C976,'LEAID Match'!$A$2:$B$214,2,FALSE),"")</f>
        <v>5009480</v>
      </c>
      <c r="F976">
        <f t="shared" si="4"/>
        <v>8</v>
      </c>
    </row>
    <row r="977" spans="1:6">
      <c r="A977">
        <v>5009450</v>
      </c>
      <c r="B977">
        <v>2015</v>
      </c>
      <c r="C977" s="10" t="s">
        <v>193</v>
      </c>
      <c r="D977" s="15">
        <v>23782.79</v>
      </c>
      <c r="E977">
        <f>IFERROR(VLOOKUP(C977,'LEAID Match'!$A$2:$B$214,2,FALSE),"")</f>
        <v>5009450</v>
      </c>
      <c r="F977">
        <f t="shared" si="4"/>
        <v>8</v>
      </c>
    </row>
    <row r="978" spans="1:6">
      <c r="A978">
        <v>5009450</v>
      </c>
      <c r="B978">
        <v>2016</v>
      </c>
      <c r="C978" s="10" t="s">
        <v>193</v>
      </c>
      <c r="D978" s="15">
        <v>22566.01</v>
      </c>
      <c r="E978">
        <f>IFERROR(VLOOKUP(C978,'LEAID Match'!$A$2:$B$214,2,FALSE),"")</f>
        <v>5009450</v>
      </c>
      <c r="F978">
        <f t="shared" si="4"/>
        <v>8</v>
      </c>
    </row>
    <row r="979" spans="1:6">
      <c r="A979">
        <v>5009450</v>
      </c>
      <c r="B979">
        <v>2017</v>
      </c>
      <c r="C979" s="10" t="s">
        <v>193</v>
      </c>
      <c r="D979" s="15">
        <v>24214</v>
      </c>
      <c r="E979">
        <f>IFERROR(VLOOKUP(C979,'LEAID Match'!$A$2:$B$214,2,FALSE),"")</f>
        <v>5009450</v>
      </c>
      <c r="F979">
        <f t="shared" si="4"/>
        <v>8</v>
      </c>
    </row>
    <row r="980" spans="1:6">
      <c r="A980">
        <v>5009450</v>
      </c>
      <c r="B980">
        <v>2018</v>
      </c>
      <c r="C980" s="10" t="s">
        <v>193</v>
      </c>
      <c r="D980" s="15">
        <v>33797</v>
      </c>
      <c r="E980">
        <f>IFERROR(VLOOKUP(C980,'LEAID Match'!$A$2:$B$214,2,FALSE),"")</f>
        <v>5009450</v>
      </c>
      <c r="F980">
        <f t="shared" si="4"/>
        <v>8</v>
      </c>
    </row>
    <row r="981" spans="1:6">
      <c r="A981">
        <v>5009450</v>
      </c>
      <c r="B981">
        <v>2019</v>
      </c>
      <c r="C981" s="10" t="s">
        <v>193</v>
      </c>
      <c r="D981" s="15">
        <v>35953</v>
      </c>
      <c r="E981">
        <f>IFERROR(VLOOKUP(C981,'LEAID Match'!$A$2:$B$214,2,FALSE),"")</f>
        <v>5009450</v>
      </c>
      <c r="F981">
        <f t="shared" si="4"/>
        <v>8</v>
      </c>
    </row>
    <row r="982" spans="1:6">
      <c r="A982">
        <v>5009450</v>
      </c>
      <c r="B982">
        <v>2020</v>
      </c>
      <c r="C982" s="10" t="s">
        <v>193</v>
      </c>
      <c r="D982" s="15">
        <v>0</v>
      </c>
      <c r="E982">
        <f>IFERROR(VLOOKUP(C982,'LEAID Match'!$A$2:$B$214,2,FALSE),"")</f>
        <v>5009450</v>
      </c>
      <c r="F982">
        <f t="shared" si="4"/>
        <v>8</v>
      </c>
    </row>
    <row r="983" spans="1:6">
      <c r="A983">
        <v>5009450</v>
      </c>
      <c r="B983">
        <v>2021</v>
      </c>
      <c r="C983" s="10" t="s">
        <v>193</v>
      </c>
      <c r="D983" s="15">
        <v>0</v>
      </c>
      <c r="E983">
        <f>IFERROR(VLOOKUP(C983,'LEAID Match'!$A$2:$B$214,2,FALSE),"")</f>
        <v>5009450</v>
      </c>
      <c r="F983">
        <f t="shared" si="4"/>
        <v>8</v>
      </c>
    </row>
    <row r="984" spans="1:6">
      <c r="A984">
        <v>5009450</v>
      </c>
      <c r="B984">
        <v>2022</v>
      </c>
      <c r="C984" s="10" t="s">
        <v>193</v>
      </c>
      <c r="D984" s="15">
        <v>0</v>
      </c>
      <c r="E984">
        <f>IFERROR(VLOOKUP(C984,'LEAID Match'!$A$2:$B$214,2,FALSE),"")</f>
        <v>5009450</v>
      </c>
      <c r="F984">
        <f t="shared" si="4"/>
        <v>8</v>
      </c>
    </row>
    <row r="985" spans="1:6">
      <c r="A985">
        <v>5009420</v>
      </c>
      <c r="B985">
        <v>2015</v>
      </c>
      <c r="C985" s="10" t="s">
        <v>192</v>
      </c>
      <c r="D985" s="15">
        <v>34558.94</v>
      </c>
      <c r="E985">
        <f>IFERROR(VLOOKUP(C985,'LEAID Match'!$A$2:$B$214,2,FALSE),"")</f>
        <v>5009420</v>
      </c>
      <c r="F985">
        <f t="shared" si="4"/>
        <v>8</v>
      </c>
    </row>
    <row r="986" spans="1:6">
      <c r="A986">
        <v>5009420</v>
      </c>
      <c r="B986">
        <v>2016</v>
      </c>
      <c r="C986" s="10" t="s">
        <v>192</v>
      </c>
      <c r="D986" s="15">
        <v>32385.46</v>
      </c>
      <c r="E986">
        <f>IFERROR(VLOOKUP(C986,'LEAID Match'!$A$2:$B$214,2,FALSE),"")</f>
        <v>5009420</v>
      </c>
      <c r="F986">
        <f t="shared" si="4"/>
        <v>8</v>
      </c>
    </row>
    <row r="987" spans="1:6">
      <c r="A987">
        <v>5009420</v>
      </c>
      <c r="B987">
        <v>2017</v>
      </c>
      <c r="C987" s="10" t="s">
        <v>192</v>
      </c>
      <c r="D987" s="15">
        <v>25332</v>
      </c>
      <c r="E987">
        <f>IFERROR(VLOOKUP(C987,'LEAID Match'!$A$2:$B$214,2,FALSE),"")</f>
        <v>5009420</v>
      </c>
      <c r="F987">
        <f t="shared" si="4"/>
        <v>8</v>
      </c>
    </row>
    <row r="988" spans="1:6">
      <c r="A988">
        <v>5009420</v>
      </c>
      <c r="B988">
        <v>2018</v>
      </c>
      <c r="C988" s="10" t="s">
        <v>192</v>
      </c>
      <c r="D988" s="15">
        <v>39823</v>
      </c>
      <c r="E988">
        <f>IFERROR(VLOOKUP(C988,'LEAID Match'!$A$2:$B$214,2,FALSE),"")</f>
        <v>5009420</v>
      </c>
      <c r="F988">
        <f t="shared" si="4"/>
        <v>8</v>
      </c>
    </row>
    <row r="989" spans="1:6">
      <c r="A989">
        <v>5009420</v>
      </c>
      <c r="B989">
        <v>2019</v>
      </c>
      <c r="C989" s="10" t="s">
        <v>192</v>
      </c>
      <c r="D989" s="15">
        <v>40085</v>
      </c>
      <c r="E989">
        <f>IFERROR(VLOOKUP(C989,'LEAID Match'!$A$2:$B$214,2,FALSE),"")</f>
        <v>5009420</v>
      </c>
      <c r="F989">
        <f t="shared" si="4"/>
        <v>8</v>
      </c>
    </row>
    <row r="990" spans="1:6">
      <c r="A990">
        <v>5009420</v>
      </c>
      <c r="B990">
        <v>2020</v>
      </c>
      <c r="C990" s="10" t="s">
        <v>192</v>
      </c>
      <c r="D990" s="15">
        <v>0</v>
      </c>
      <c r="E990">
        <f>IFERROR(VLOOKUP(C990,'LEAID Match'!$A$2:$B$214,2,FALSE),"")</f>
        <v>5009420</v>
      </c>
      <c r="F990">
        <f t="shared" si="4"/>
        <v>8</v>
      </c>
    </row>
    <row r="991" spans="1:6">
      <c r="A991">
        <v>5009420</v>
      </c>
      <c r="B991">
        <v>2021</v>
      </c>
      <c r="C991" s="10" t="s">
        <v>192</v>
      </c>
      <c r="D991" s="15">
        <v>0</v>
      </c>
      <c r="E991">
        <f>IFERROR(VLOOKUP(C991,'LEAID Match'!$A$2:$B$214,2,FALSE),"")</f>
        <v>5009420</v>
      </c>
      <c r="F991">
        <f t="shared" si="4"/>
        <v>8</v>
      </c>
    </row>
    <row r="992" spans="1:6">
      <c r="A992">
        <v>5009420</v>
      </c>
      <c r="B992">
        <v>2022</v>
      </c>
      <c r="C992" s="10" t="s">
        <v>192</v>
      </c>
      <c r="D992" s="15">
        <v>0</v>
      </c>
      <c r="E992">
        <f>IFERROR(VLOOKUP(C992,'LEAID Match'!$A$2:$B$214,2,FALSE),"")</f>
        <v>5009420</v>
      </c>
      <c r="F992">
        <f t="shared" si="4"/>
        <v>8</v>
      </c>
    </row>
    <row r="993" spans="1:6">
      <c r="A993">
        <v>5009390</v>
      </c>
      <c r="B993">
        <v>2015</v>
      </c>
      <c r="C993" s="10" t="s">
        <v>191</v>
      </c>
      <c r="D993" s="15">
        <v>86220.4</v>
      </c>
      <c r="E993">
        <f>IFERROR(VLOOKUP(C993,'LEAID Match'!$A$2:$B$214,2,FALSE),"")</f>
        <v>5009390</v>
      </c>
      <c r="F993">
        <f t="shared" si="4"/>
        <v>8</v>
      </c>
    </row>
    <row r="994" spans="1:6">
      <c r="A994">
        <v>5009390</v>
      </c>
      <c r="B994">
        <v>2016</v>
      </c>
      <c r="C994" s="10" t="s">
        <v>191</v>
      </c>
      <c r="D994" s="15">
        <v>73162.03</v>
      </c>
      <c r="E994">
        <f>IFERROR(VLOOKUP(C994,'LEAID Match'!$A$2:$B$214,2,FALSE),"")</f>
        <v>5009390</v>
      </c>
      <c r="F994">
        <f t="shared" si="4"/>
        <v>8</v>
      </c>
    </row>
    <row r="995" spans="1:6">
      <c r="A995">
        <v>5009390</v>
      </c>
      <c r="B995">
        <v>2017</v>
      </c>
      <c r="C995" s="10" t="s">
        <v>191</v>
      </c>
      <c r="D995" s="15">
        <v>79605</v>
      </c>
      <c r="E995">
        <f>IFERROR(VLOOKUP(C995,'LEAID Match'!$A$2:$B$214,2,FALSE),"")</f>
        <v>5009390</v>
      </c>
      <c r="F995">
        <f t="shared" si="4"/>
        <v>8</v>
      </c>
    </row>
    <row r="996" spans="1:6">
      <c r="A996">
        <v>5009390</v>
      </c>
      <c r="B996">
        <v>2018</v>
      </c>
      <c r="C996" s="10" t="s">
        <v>191</v>
      </c>
      <c r="D996" s="15">
        <v>105301</v>
      </c>
      <c r="E996">
        <f>IFERROR(VLOOKUP(C996,'LEAID Match'!$A$2:$B$214,2,FALSE),"")</f>
        <v>5009390</v>
      </c>
      <c r="F996">
        <f t="shared" si="4"/>
        <v>8</v>
      </c>
    </row>
    <row r="997" spans="1:6">
      <c r="A997">
        <v>5009390</v>
      </c>
      <c r="B997">
        <v>2019</v>
      </c>
      <c r="C997" s="10" t="s">
        <v>191</v>
      </c>
      <c r="D997" s="15">
        <v>106645</v>
      </c>
      <c r="E997">
        <f>IFERROR(VLOOKUP(C997,'LEAID Match'!$A$2:$B$214,2,FALSE),"")</f>
        <v>5009390</v>
      </c>
      <c r="F997">
        <f t="shared" si="4"/>
        <v>8</v>
      </c>
    </row>
    <row r="998" spans="1:6">
      <c r="A998">
        <v>5009390</v>
      </c>
      <c r="B998">
        <v>2020</v>
      </c>
      <c r="C998" s="10" t="s">
        <v>191</v>
      </c>
      <c r="D998" s="15">
        <v>124556</v>
      </c>
      <c r="E998">
        <f>IFERROR(VLOOKUP(C998,'LEAID Match'!$A$2:$B$214,2,FALSE),"")</f>
        <v>5009390</v>
      </c>
      <c r="F998">
        <f t="shared" si="4"/>
        <v>8</v>
      </c>
    </row>
    <row r="999" spans="1:6">
      <c r="A999">
        <v>5009390</v>
      </c>
      <c r="B999">
        <v>2021</v>
      </c>
      <c r="C999" s="10" t="s">
        <v>191</v>
      </c>
      <c r="D999" s="15">
        <v>137736</v>
      </c>
      <c r="E999">
        <f>IFERROR(VLOOKUP(C999,'LEAID Match'!$A$2:$B$214,2,FALSE),"")</f>
        <v>5009390</v>
      </c>
      <c r="F999">
        <f t="shared" si="4"/>
        <v>8</v>
      </c>
    </row>
    <row r="1000" spans="1:6">
      <c r="A1000">
        <v>5009390</v>
      </c>
      <c r="B1000">
        <v>2022</v>
      </c>
      <c r="C1000" s="10" t="s">
        <v>191</v>
      </c>
      <c r="D1000" s="15">
        <v>270631</v>
      </c>
      <c r="E1000">
        <f>IFERROR(VLOOKUP(C1000,'LEAID Match'!$A$2:$B$214,2,FALSE),"")</f>
        <v>5009390</v>
      </c>
      <c r="F1000">
        <f t="shared" si="4"/>
        <v>8</v>
      </c>
    </row>
    <row r="1001" spans="1:6">
      <c r="A1001">
        <v>5009360</v>
      </c>
      <c r="B1001">
        <v>2015</v>
      </c>
      <c r="C1001" s="10" t="s">
        <v>190</v>
      </c>
      <c r="D1001" s="15">
        <v>697308.14</v>
      </c>
      <c r="E1001">
        <f>IFERROR(VLOOKUP(C1001,'LEAID Match'!$A$2:$B$214,2,FALSE),"")</f>
        <v>5009360</v>
      </c>
      <c r="F1001">
        <f t="shared" si="4"/>
        <v>8</v>
      </c>
    </row>
    <row r="1002" spans="1:6">
      <c r="A1002">
        <v>5009360</v>
      </c>
      <c r="B1002">
        <v>2016</v>
      </c>
      <c r="C1002" s="10" t="s">
        <v>190</v>
      </c>
      <c r="D1002" s="15">
        <v>713924.46</v>
      </c>
      <c r="E1002">
        <f>IFERROR(VLOOKUP(C1002,'LEAID Match'!$A$2:$B$214,2,FALSE),"")</f>
        <v>5009360</v>
      </c>
      <c r="F1002">
        <f t="shared" si="4"/>
        <v>8</v>
      </c>
    </row>
    <row r="1003" spans="1:6">
      <c r="A1003">
        <v>5009360</v>
      </c>
      <c r="B1003">
        <v>2017</v>
      </c>
      <c r="C1003" s="10" t="s">
        <v>190</v>
      </c>
      <c r="D1003" s="15">
        <v>819798</v>
      </c>
      <c r="E1003">
        <f>IFERROR(VLOOKUP(C1003,'LEAID Match'!$A$2:$B$214,2,FALSE),"")</f>
        <v>5009360</v>
      </c>
      <c r="F1003">
        <f t="shared" si="4"/>
        <v>8</v>
      </c>
    </row>
    <row r="1004" spans="1:6">
      <c r="A1004">
        <v>5009360</v>
      </c>
      <c r="B1004">
        <v>2018</v>
      </c>
      <c r="C1004" s="10" t="s">
        <v>190</v>
      </c>
      <c r="D1004" s="15">
        <v>1208477</v>
      </c>
      <c r="E1004">
        <f>IFERROR(VLOOKUP(C1004,'LEAID Match'!$A$2:$B$214,2,FALSE),"")</f>
        <v>5009360</v>
      </c>
      <c r="F1004">
        <f t="shared" si="4"/>
        <v>8</v>
      </c>
    </row>
    <row r="1005" spans="1:6">
      <c r="A1005">
        <v>5009360</v>
      </c>
      <c r="B1005">
        <v>2019</v>
      </c>
      <c r="C1005" s="10" t="s">
        <v>190</v>
      </c>
      <c r="D1005" s="15">
        <v>1278141</v>
      </c>
      <c r="E1005">
        <f>IFERROR(VLOOKUP(C1005,'LEAID Match'!$A$2:$B$214,2,FALSE),"")</f>
        <v>5009360</v>
      </c>
      <c r="F1005">
        <f t="shared" si="4"/>
        <v>8</v>
      </c>
    </row>
    <row r="1006" spans="1:6">
      <c r="A1006">
        <v>5009360</v>
      </c>
      <c r="B1006">
        <v>2020</v>
      </c>
      <c r="C1006" s="10" t="s">
        <v>190</v>
      </c>
      <c r="D1006" s="15">
        <v>1379874</v>
      </c>
      <c r="E1006">
        <f>IFERROR(VLOOKUP(C1006,'LEAID Match'!$A$2:$B$214,2,FALSE),"")</f>
        <v>5009360</v>
      </c>
      <c r="F1006">
        <f t="shared" si="4"/>
        <v>8</v>
      </c>
    </row>
    <row r="1007" spans="1:6">
      <c r="A1007">
        <v>5009360</v>
      </c>
      <c r="B1007">
        <v>2021</v>
      </c>
      <c r="C1007" s="10" t="s">
        <v>190</v>
      </c>
      <c r="D1007" s="15">
        <v>1482665</v>
      </c>
      <c r="E1007">
        <f>IFERROR(VLOOKUP(C1007,'LEAID Match'!$A$2:$B$214,2,FALSE),"")</f>
        <v>5009360</v>
      </c>
      <c r="F1007">
        <f t="shared" si="4"/>
        <v>8</v>
      </c>
    </row>
    <row r="1008" spans="1:6">
      <c r="A1008">
        <v>5009360</v>
      </c>
      <c r="B1008">
        <v>2022</v>
      </c>
      <c r="C1008" s="10" t="s">
        <v>190</v>
      </c>
      <c r="D1008" s="15">
        <v>3702484</v>
      </c>
      <c r="E1008">
        <f>IFERROR(VLOOKUP(C1008,'LEAID Match'!$A$2:$B$214,2,FALSE),"")</f>
        <v>5009360</v>
      </c>
      <c r="F1008">
        <f t="shared" si="4"/>
        <v>8</v>
      </c>
    </row>
    <row r="1009" spans="1:6">
      <c r="A1009">
        <v>5009300</v>
      </c>
      <c r="B1009">
        <v>2015</v>
      </c>
      <c r="C1009" s="10" t="s">
        <v>189</v>
      </c>
      <c r="D1009" s="15">
        <v>270761.12</v>
      </c>
      <c r="E1009">
        <f>IFERROR(VLOOKUP(C1009,'LEAID Match'!$A$2:$B$214,2,FALSE),"")</f>
        <v>5009300</v>
      </c>
      <c r="F1009">
        <f t="shared" si="4"/>
        <v>8</v>
      </c>
    </row>
    <row r="1010" spans="1:6">
      <c r="A1010">
        <v>5009300</v>
      </c>
      <c r="B1010">
        <v>2016</v>
      </c>
      <c r="C1010" s="10" t="s">
        <v>189</v>
      </c>
      <c r="D1010" s="15">
        <v>292791.11</v>
      </c>
      <c r="E1010">
        <f>IFERROR(VLOOKUP(C1010,'LEAID Match'!$A$2:$B$214,2,FALSE),"")</f>
        <v>5009300</v>
      </c>
      <c r="F1010">
        <f t="shared" si="4"/>
        <v>8</v>
      </c>
    </row>
    <row r="1011" spans="1:6">
      <c r="A1011">
        <v>5009300</v>
      </c>
      <c r="B1011">
        <v>2017</v>
      </c>
      <c r="C1011" s="10" t="s">
        <v>189</v>
      </c>
      <c r="D1011" s="15">
        <v>344188</v>
      </c>
      <c r="E1011">
        <f>IFERROR(VLOOKUP(C1011,'LEAID Match'!$A$2:$B$214,2,FALSE),"")</f>
        <v>5009300</v>
      </c>
      <c r="F1011">
        <f t="shared" si="4"/>
        <v>8</v>
      </c>
    </row>
    <row r="1012" spans="1:6">
      <c r="A1012">
        <v>5009300</v>
      </c>
      <c r="B1012">
        <v>2018</v>
      </c>
      <c r="C1012" s="10" t="s">
        <v>189</v>
      </c>
      <c r="D1012" s="15">
        <v>517678</v>
      </c>
      <c r="E1012">
        <f>IFERROR(VLOOKUP(C1012,'LEAID Match'!$A$2:$B$214,2,FALSE),"")</f>
        <v>5009300</v>
      </c>
      <c r="F1012">
        <f t="shared" si="4"/>
        <v>8</v>
      </c>
    </row>
    <row r="1013" spans="1:6">
      <c r="A1013">
        <v>5009300</v>
      </c>
      <c r="B1013">
        <v>2019</v>
      </c>
      <c r="C1013" s="10" t="s">
        <v>189</v>
      </c>
      <c r="D1013" s="15">
        <v>533420</v>
      </c>
      <c r="E1013">
        <f>IFERROR(VLOOKUP(C1013,'LEAID Match'!$A$2:$B$214,2,FALSE),"")</f>
        <v>5009300</v>
      </c>
      <c r="F1013">
        <f t="shared" si="4"/>
        <v>8</v>
      </c>
    </row>
    <row r="1014" spans="1:6">
      <c r="A1014">
        <v>5009300</v>
      </c>
      <c r="B1014">
        <v>2020</v>
      </c>
      <c r="C1014" s="10" t="s">
        <v>189</v>
      </c>
      <c r="D1014" s="15">
        <v>0</v>
      </c>
      <c r="E1014">
        <f>IFERROR(VLOOKUP(C1014,'LEAID Match'!$A$2:$B$214,2,FALSE),"")</f>
        <v>5009300</v>
      </c>
      <c r="F1014">
        <f t="shared" si="4"/>
        <v>8</v>
      </c>
    </row>
    <row r="1015" spans="1:6">
      <c r="A1015">
        <v>5009300</v>
      </c>
      <c r="B1015">
        <v>2021</v>
      </c>
      <c r="C1015" s="10" t="s">
        <v>189</v>
      </c>
      <c r="D1015" s="15">
        <v>0</v>
      </c>
      <c r="E1015">
        <f>IFERROR(VLOOKUP(C1015,'LEAID Match'!$A$2:$B$214,2,FALSE),"")</f>
        <v>5009300</v>
      </c>
      <c r="F1015">
        <f t="shared" si="4"/>
        <v>8</v>
      </c>
    </row>
    <row r="1016" spans="1:6">
      <c r="A1016">
        <v>5009300</v>
      </c>
      <c r="B1016">
        <v>2022</v>
      </c>
      <c r="C1016" s="10" t="s">
        <v>189</v>
      </c>
      <c r="D1016" s="15">
        <v>0</v>
      </c>
      <c r="E1016">
        <f>IFERROR(VLOOKUP(C1016,'LEAID Match'!$A$2:$B$214,2,FALSE),"")</f>
        <v>5009300</v>
      </c>
      <c r="F1016">
        <f t="shared" si="4"/>
        <v>8</v>
      </c>
    </row>
    <row r="1017" spans="1:6">
      <c r="A1017">
        <v>5009270</v>
      </c>
      <c r="B1017">
        <v>2015</v>
      </c>
      <c r="C1017" s="10" t="s">
        <v>188</v>
      </c>
      <c r="D1017" s="15">
        <v>14402.31</v>
      </c>
      <c r="E1017">
        <f>IFERROR(VLOOKUP(C1017,'LEAID Match'!$A$2:$B$214,2,FALSE),"")</f>
        <v>5009270</v>
      </c>
      <c r="F1017">
        <f t="shared" si="4"/>
        <v>8</v>
      </c>
    </row>
    <row r="1018" spans="1:6">
      <c r="A1018">
        <v>5009270</v>
      </c>
      <c r="B1018">
        <v>2016</v>
      </c>
      <c r="C1018" s="10" t="s">
        <v>188</v>
      </c>
      <c r="D1018" s="15">
        <v>14223.77</v>
      </c>
      <c r="E1018">
        <f>IFERROR(VLOOKUP(C1018,'LEAID Match'!$A$2:$B$214,2,FALSE),"")</f>
        <v>5009270</v>
      </c>
      <c r="F1018">
        <f t="shared" si="4"/>
        <v>8</v>
      </c>
    </row>
    <row r="1019" spans="1:6">
      <c r="A1019">
        <v>5009270</v>
      </c>
      <c r="B1019">
        <v>2017</v>
      </c>
      <c r="C1019" s="10" t="s">
        <v>188</v>
      </c>
      <c r="D1019" s="15">
        <v>15715</v>
      </c>
      <c r="E1019">
        <f>IFERROR(VLOOKUP(C1019,'LEAID Match'!$A$2:$B$214,2,FALSE),"")</f>
        <v>5009270</v>
      </c>
      <c r="F1019">
        <f t="shared" si="4"/>
        <v>8</v>
      </c>
    </row>
    <row r="1020" spans="1:6">
      <c r="A1020">
        <v>5009270</v>
      </c>
      <c r="B1020">
        <v>2018</v>
      </c>
      <c r="C1020" s="10" t="s">
        <v>188</v>
      </c>
      <c r="D1020" s="15">
        <v>23216</v>
      </c>
      <c r="E1020">
        <f>IFERROR(VLOOKUP(C1020,'LEAID Match'!$A$2:$B$214,2,FALSE),"")</f>
        <v>5009270</v>
      </c>
      <c r="F1020">
        <f t="shared" si="4"/>
        <v>8</v>
      </c>
    </row>
    <row r="1021" spans="1:6">
      <c r="A1021">
        <v>5009270</v>
      </c>
      <c r="B1021">
        <v>2019</v>
      </c>
      <c r="C1021" s="10" t="s">
        <v>188</v>
      </c>
      <c r="D1021" s="15">
        <v>24332</v>
      </c>
      <c r="E1021">
        <f>IFERROR(VLOOKUP(C1021,'LEAID Match'!$A$2:$B$214,2,FALSE),"")</f>
        <v>5009270</v>
      </c>
      <c r="F1021">
        <f t="shared" si="4"/>
        <v>8</v>
      </c>
    </row>
    <row r="1022" spans="1:6">
      <c r="A1022">
        <v>5009270</v>
      </c>
      <c r="B1022">
        <v>2020</v>
      </c>
      <c r="C1022" s="10" t="s">
        <v>188</v>
      </c>
      <c r="D1022" s="15">
        <v>25830</v>
      </c>
      <c r="E1022">
        <f>IFERROR(VLOOKUP(C1022,'LEAID Match'!$A$2:$B$214,2,FALSE),"")</f>
        <v>5009270</v>
      </c>
      <c r="F1022">
        <f t="shared" si="4"/>
        <v>8</v>
      </c>
    </row>
    <row r="1023" spans="1:6">
      <c r="A1023">
        <v>5009270</v>
      </c>
      <c r="B1023">
        <v>2021</v>
      </c>
      <c r="C1023" s="10" t="s">
        <v>188</v>
      </c>
      <c r="D1023" s="15">
        <v>15625</v>
      </c>
      <c r="E1023">
        <f>IFERROR(VLOOKUP(C1023,'LEAID Match'!$A$2:$B$214,2,FALSE),"")</f>
        <v>5009270</v>
      </c>
      <c r="F1023">
        <f t="shared" si="4"/>
        <v>8</v>
      </c>
    </row>
    <row r="1024" spans="1:6">
      <c r="A1024">
        <v>5009270</v>
      </c>
      <c r="B1024">
        <v>2022</v>
      </c>
      <c r="C1024" s="10" t="s">
        <v>188</v>
      </c>
      <c r="D1024" s="15">
        <v>37615</v>
      </c>
      <c r="E1024">
        <f>IFERROR(VLOOKUP(C1024,'LEAID Match'!$A$2:$B$214,2,FALSE),"")</f>
        <v>5009270</v>
      </c>
      <c r="F1024">
        <f t="shared" si="4"/>
        <v>8</v>
      </c>
    </row>
    <row r="1025" spans="1:6">
      <c r="A1025">
        <v>5008970</v>
      </c>
      <c r="B1025">
        <v>2015</v>
      </c>
      <c r="C1025" s="10" t="s">
        <v>180</v>
      </c>
      <c r="D1025" s="15">
        <v>107648.24</v>
      </c>
      <c r="E1025">
        <f>IFERROR(VLOOKUP(C1025,'LEAID Match'!$A$2:$B$214,2,FALSE),"")</f>
        <v>5008970</v>
      </c>
      <c r="F1025">
        <f t="shared" si="4"/>
        <v>8</v>
      </c>
    </row>
    <row r="1026" spans="1:6">
      <c r="A1026">
        <v>5008970</v>
      </c>
      <c r="B1026">
        <v>2016</v>
      </c>
      <c r="C1026" s="10" t="s">
        <v>180</v>
      </c>
      <c r="D1026" s="15">
        <v>123523.71</v>
      </c>
      <c r="E1026">
        <f>IFERROR(VLOOKUP(C1026,'LEAID Match'!$A$2:$B$214,2,FALSE),"")</f>
        <v>5008970</v>
      </c>
      <c r="F1026">
        <f t="shared" ref="F1026:F1089" si="5">COUNTIF($A$705:$A$2272,A1026)</f>
        <v>8</v>
      </c>
    </row>
    <row r="1027" spans="1:6">
      <c r="A1027">
        <v>5008970</v>
      </c>
      <c r="B1027">
        <v>2017</v>
      </c>
      <c r="C1027" s="10" t="s">
        <v>180</v>
      </c>
      <c r="D1027" s="15">
        <v>137057</v>
      </c>
      <c r="E1027">
        <f>IFERROR(VLOOKUP(C1027,'LEAID Match'!$A$2:$B$214,2,FALSE),"")</f>
        <v>5008970</v>
      </c>
      <c r="F1027">
        <f t="shared" si="5"/>
        <v>8</v>
      </c>
    </row>
    <row r="1028" spans="1:6">
      <c r="A1028">
        <v>5008970</v>
      </c>
      <c r="B1028">
        <v>2018</v>
      </c>
      <c r="C1028" s="10" t="s">
        <v>180</v>
      </c>
      <c r="D1028" s="15">
        <v>200896</v>
      </c>
      <c r="E1028">
        <f>IFERROR(VLOOKUP(C1028,'LEAID Match'!$A$2:$B$214,2,FALSE),"")</f>
        <v>5008970</v>
      </c>
      <c r="F1028">
        <f t="shared" si="5"/>
        <v>8</v>
      </c>
    </row>
    <row r="1029" spans="1:6">
      <c r="A1029">
        <v>5008970</v>
      </c>
      <c r="B1029">
        <v>2019</v>
      </c>
      <c r="C1029" s="10" t="s">
        <v>180</v>
      </c>
      <c r="D1029" s="15">
        <v>190868</v>
      </c>
      <c r="E1029">
        <f>IFERROR(VLOOKUP(C1029,'LEAID Match'!$A$2:$B$214,2,FALSE),"")</f>
        <v>5008970</v>
      </c>
      <c r="F1029">
        <f t="shared" si="5"/>
        <v>8</v>
      </c>
    </row>
    <row r="1030" spans="1:6">
      <c r="A1030">
        <v>5008970</v>
      </c>
      <c r="B1030">
        <v>2020</v>
      </c>
      <c r="C1030" s="10" t="s">
        <v>180</v>
      </c>
      <c r="D1030" s="15">
        <v>0</v>
      </c>
      <c r="E1030">
        <f>IFERROR(VLOOKUP(C1030,'LEAID Match'!$A$2:$B$214,2,FALSE),"")</f>
        <v>5008970</v>
      </c>
      <c r="F1030">
        <f t="shared" si="5"/>
        <v>8</v>
      </c>
    </row>
    <row r="1031" spans="1:6">
      <c r="A1031">
        <v>5008970</v>
      </c>
      <c r="B1031">
        <v>2021</v>
      </c>
      <c r="C1031" s="10" t="s">
        <v>180</v>
      </c>
      <c r="D1031" s="15">
        <v>0</v>
      </c>
      <c r="E1031">
        <f>IFERROR(VLOOKUP(C1031,'LEAID Match'!$A$2:$B$214,2,FALSE),"")</f>
        <v>5008970</v>
      </c>
      <c r="F1031">
        <f t="shared" si="5"/>
        <v>8</v>
      </c>
    </row>
    <row r="1032" spans="1:6">
      <c r="A1032">
        <v>5008970</v>
      </c>
      <c r="B1032">
        <v>2022</v>
      </c>
      <c r="C1032" s="10" t="s">
        <v>180</v>
      </c>
      <c r="D1032" s="15">
        <v>0</v>
      </c>
      <c r="E1032">
        <f>IFERROR(VLOOKUP(C1032,'LEAID Match'!$A$2:$B$214,2,FALSE),"")</f>
        <v>5008970</v>
      </c>
      <c r="F1032">
        <f t="shared" si="5"/>
        <v>8</v>
      </c>
    </row>
    <row r="1033" spans="1:6">
      <c r="A1033">
        <v>5008880</v>
      </c>
      <c r="B1033">
        <v>2015</v>
      </c>
      <c r="C1033" s="10" t="s">
        <v>178</v>
      </c>
      <c r="D1033" s="15">
        <v>53821.64</v>
      </c>
      <c r="E1033">
        <f>IFERROR(VLOOKUP(C1033,'LEAID Match'!$A$2:$B$214,2,FALSE),"")</f>
        <v>5008880</v>
      </c>
      <c r="F1033">
        <f t="shared" si="5"/>
        <v>8</v>
      </c>
    </row>
    <row r="1034" spans="1:6">
      <c r="A1034">
        <v>5008880</v>
      </c>
      <c r="B1034">
        <v>2016</v>
      </c>
      <c r="C1034" s="10" t="s">
        <v>178</v>
      </c>
      <c r="D1034" s="15">
        <v>56431.75</v>
      </c>
      <c r="E1034">
        <f>IFERROR(VLOOKUP(C1034,'LEAID Match'!$A$2:$B$214,2,FALSE),"")</f>
        <v>5008880</v>
      </c>
      <c r="F1034">
        <f t="shared" si="5"/>
        <v>8</v>
      </c>
    </row>
    <row r="1035" spans="1:6">
      <c r="A1035">
        <v>5008880</v>
      </c>
      <c r="B1035">
        <v>2017</v>
      </c>
      <c r="C1035" s="10" t="s">
        <v>178</v>
      </c>
      <c r="D1035" s="15">
        <v>66279</v>
      </c>
      <c r="E1035">
        <f>IFERROR(VLOOKUP(C1035,'LEAID Match'!$A$2:$B$214,2,FALSE),"")</f>
        <v>5008880</v>
      </c>
      <c r="F1035">
        <f t="shared" si="5"/>
        <v>8</v>
      </c>
    </row>
    <row r="1036" spans="1:6">
      <c r="A1036">
        <v>5008880</v>
      </c>
      <c r="B1036">
        <v>2018</v>
      </c>
      <c r="C1036" s="10" t="s">
        <v>178</v>
      </c>
      <c r="D1036" s="15">
        <v>89692</v>
      </c>
      <c r="E1036">
        <f>IFERROR(VLOOKUP(C1036,'LEAID Match'!$A$2:$B$214,2,FALSE),"")</f>
        <v>5008880</v>
      </c>
      <c r="F1036">
        <f t="shared" si="5"/>
        <v>8</v>
      </c>
    </row>
    <row r="1037" spans="1:6">
      <c r="A1037">
        <v>5008880</v>
      </c>
      <c r="B1037">
        <v>2019</v>
      </c>
      <c r="C1037" s="10" t="s">
        <v>178</v>
      </c>
      <c r="D1037" s="15">
        <v>96478</v>
      </c>
      <c r="E1037">
        <f>IFERROR(VLOOKUP(C1037,'LEAID Match'!$A$2:$B$214,2,FALSE),"")</f>
        <v>5008880</v>
      </c>
      <c r="F1037">
        <f t="shared" si="5"/>
        <v>8</v>
      </c>
    </row>
    <row r="1038" spans="1:6">
      <c r="A1038">
        <v>5008880</v>
      </c>
      <c r="B1038">
        <v>2020</v>
      </c>
      <c r="C1038" s="10" t="s">
        <v>178</v>
      </c>
      <c r="D1038" s="15">
        <v>0</v>
      </c>
      <c r="E1038">
        <f>IFERROR(VLOOKUP(C1038,'LEAID Match'!$A$2:$B$214,2,FALSE),"")</f>
        <v>5008880</v>
      </c>
      <c r="F1038">
        <f t="shared" si="5"/>
        <v>8</v>
      </c>
    </row>
    <row r="1039" spans="1:6">
      <c r="A1039">
        <v>5008880</v>
      </c>
      <c r="B1039">
        <v>2021</v>
      </c>
      <c r="C1039" s="10" t="s">
        <v>178</v>
      </c>
      <c r="D1039" s="15">
        <v>0</v>
      </c>
      <c r="E1039">
        <f>IFERROR(VLOOKUP(C1039,'LEAID Match'!$A$2:$B$214,2,FALSE),"")</f>
        <v>5008880</v>
      </c>
      <c r="F1039">
        <f t="shared" si="5"/>
        <v>8</v>
      </c>
    </row>
    <row r="1040" spans="1:6">
      <c r="A1040">
        <v>5008880</v>
      </c>
      <c r="B1040">
        <v>2022</v>
      </c>
      <c r="C1040" s="10" t="s">
        <v>178</v>
      </c>
      <c r="D1040" s="15">
        <v>0</v>
      </c>
      <c r="E1040">
        <f>IFERROR(VLOOKUP(C1040,'LEAID Match'!$A$2:$B$214,2,FALSE),"")</f>
        <v>5008880</v>
      </c>
      <c r="F1040">
        <f t="shared" si="5"/>
        <v>8</v>
      </c>
    </row>
    <row r="1041" spans="1:6">
      <c r="A1041">
        <v>5008850</v>
      </c>
      <c r="B1041">
        <v>2015</v>
      </c>
      <c r="C1041" s="10" t="s">
        <v>177</v>
      </c>
      <c r="D1041" s="15">
        <v>241336.84</v>
      </c>
      <c r="E1041">
        <f>IFERROR(VLOOKUP(C1041,'LEAID Match'!$A$2:$B$214,2,FALSE),"")</f>
        <v>5008850</v>
      </c>
      <c r="F1041">
        <f t="shared" si="5"/>
        <v>8</v>
      </c>
    </row>
    <row r="1042" spans="1:6">
      <c r="A1042">
        <v>5008850</v>
      </c>
      <c r="B1042">
        <v>2016</v>
      </c>
      <c r="C1042" s="10" t="s">
        <v>177</v>
      </c>
      <c r="D1042" s="15">
        <v>266930.94</v>
      </c>
      <c r="E1042">
        <f>IFERROR(VLOOKUP(C1042,'LEAID Match'!$A$2:$B$214,2,FALSE),"")</f>
        <v>5008850</v>
      </c>
      <c r="F1042">
        <f t="shared" si="5"/>
        <v>8</v>
      </c>
    </row>
    <row r="1043" spans="1:6">
      <c r="A1043">
        <v>5008850</v>
      </c>
      <c r="B1043">
        <v>2017</v>
      </c>
      <c r="C1043" s="10" t="s">
        <v>177</v>
      </c>
      <c r="D1043" s="15">
        <v>259097</v>
      </c>
      <c r="E1043">
        <f>IFERROR(VLOOKUP(C1043,'LEAID Match'!$A$2:$B$214,2,FALSE),"")</f>
        <v>5008850</v>
      </c>
      <c r="F1043">
        <f t="shared" si="5"/>
        <v>8</v>
      </c>
    </row>
    <row r="1044" spans="1:6">
      <c r="A1044">
        <v>5008850</v>
      </c>
      <c r="B1044">
        <v>2018</v>
      </c>
      <c r="C1044" s="10" t="s">
        <v>177</v>
      </c>
      <c r="D1044" s="15">
        <v>355505</v>
      </c>
      <c r="E1044">
        <f>IFERROR(VLOOKUP(C1044,'LEAID Match'!$A$2:$B$214,2,FALSE),"")</f>
        <v>5008850</v>
      </c>
      <c r="F1044">
        <f t="shared" si="5"/>
        <v>8</v>
      </c>
    </row>
    <row r="1045" spans="1:6">
      <c r="A1045">
        <v>5008850</v>
      </c>
      <c r="B1045">
        <v>2019</v>
      </c>
      <c r="C1045" s="10" t="s">
        <v>177</v>
      </c>
      <c r="D1045" s="15">
        <v>0</v>
      </c>
      <c r="E1045">
        <f>IFERROR(VLOOKUP(C1045,'LEAID Match'!$A$2:$B$214,2,FALSE),"")</f>
        <v>5008850</v>
      </c>
      <c r="F1045">
        <f t="shared" si="5"/>
        <v>8</v>
      </c>
    </row>
    <row r="1046" spans="1:6">
      <c r="A1046">
        <v>5008850</v>
      </c>
      <c r="B1046">
        <v>2020</v>
      </c>
      <c r="C1046" s="10" t="s">
        <v>177</v>
      </c>
      <c r="D1046" s="15">
        <v>0</v>
      </c>
      <c r="E1046">
        <f>IFERROR(VLOOKUP(C1046,'LEAID Match'!$A$2:$B$214,2,FALSE),"")</f>
        <v>5008850</v>
      </c>
      <c r="F1046">
        <f t="shared" si="5"/>
        <v>8</v>
      </c>
    </row>
    <row r="1047" spans="1:6">
      <c r="A1047">
        <v>5008850</v>
      </c>
      <c r="B1047">
        <v>2021</v>
      </c>
      <c r="C1047" s="10" t="s">
        <v>177</v>
      </c>
      <c r="D1047" s="15">
        <v>0</v>
      </c>
      <c r="E1047">
        <f>IFERROR(VLOOKUP(C1047,'LEAID Match'!$A$2:$B$214,2,FALSE),"")</f>
        <v>5008850</v>
      </c>
      <c r="F1047">
        <f t="shared" si="5"/>
        <v>8</v>
      </c>
    </row>
    <row r="1048" spans="1:6">
      <c r="A1048">
        <v>5008850</v>
      </c>
      <c r="B1048">
        <v>2022</v>
      </c>
      <c r="C1048" s="10" t="s">
        <v>177</v>
      </c>
      <c r="D1048" s="15">
        <v>0</v>
      </c>
      <c r="E1048">
        <f>IFERROR(VLOOKUP(C1048,'LEAID Match'!$A$2:$B$214,2,FALSE),"")</f>
        <v>5008850</v>
      </c>
      <c r="F1048">
        <f t="shared" si="5"/>
        <v>8</v>
      </c>
    </row>
    <row r="1049" spans="1:6">
      <c r="A1049">
        <v>5008760</v>
      </c>
      <c r="B1049">
        <v>2015</v>
      </c>
      <c r="C1049" s="10" t="s">
        <v>176</v>
      </c>
      <c r="D1049" s="15">
        <v>58772.22</v>
      </c>
      <c r="E1049">
        <f>IFERROR(VLOOKUP(C1049,'LEAID Match'!$A$2:$B$214,2,FALSE),"")</f>
        <v>5008760</v>
      </c>
      <c r="F1049">
        <f t="shared" si="5"/>
        <v>8</v>
      </c>
    </row>
    <row r="1050" spans="1:6">
      <c r="A1050">
        <v>5008760</v>
      </c>
      <c r="B1050">
        <v>2016</v>
      </c>
      <c r="C1050" s="10" t="s">
        <v>176</v>
      </c>
      <c r="D1050" s="15">
        <v>66119.37</v>
      </c>
      <c r="E1050">
        <f>IFERROR(VLOOKUP(C1050,'LEAID Match'!$A$2:$B$214,2,FALSE),"")</f>
        <v>5008760</v>
      </c>
      <c r="F1050">
        <f t="shared" si="5"/>
        <v>8</v>
      </c>
    </row>
    <row r="1051" spans="1:6">
      <c r="A1051">
        <v>5008760</v>
      </c>
      <c r="B1051">
        <v>2017</v>
      </c>
      <c r="C1051" s="10" t="s">
        <v>176</v>
      </c>
      <c r="D1051" s="15">
        <v>69406</v>
      </c>
      <c r="E1051">
        <f>IFERROR(VLOOKUP(C1051,'LEAID Match'!$A$2:$B$214,2,FALSE),"")</f>
        <v>5008760</v>
      </c>
      <c r="F1051">
        <f t="shared" si="5"/>
        <v>8</v>
      </c>
    </row>
    <row r="1052" spans="1:6">
      <c r="A1052">
        <v>5008760</v>
      </c>
      <c r="B1052">
        <v>2018</v>
      </c>
      <c r="C1052" s="10" t="s">
        <v>176</v>
      </c>
      <c r="D1052" s="15">
        <v>81833</v>
      </c>
      <c r="E1052">
        <f>IFERROR(VLOOKUP(C1052,'LEAID Match'!$A$2:$B$214,2,FALSE),"")</f>
        <v>5008760</v>
      </c>
      <c r="F1052">
        <f t="shared" si="5"/>
        <v>8</v>
      </c>
    </row>
    <row r="1053" spans="1:6">
      <c r="A1053">
        <v>5008760</v>
      </c>
      <c r="B1053">
        <v>2019</v>
      </c>
      <c r="C1053" s="10" t="s">
        <v>176</v>
      </c>
      <c r="D1053" s="15">
        <v>0</v>
      </c>
      <c r="E1053">
        <f>IFERROR(VLOOKUP(C1053,'LEAID Match'!$A$2:$B$214,2,FALSE),"")</f>
        <v>5008760</v>
      </c>
      <c r="F1053">
        <f t="shared" si="5"/>
        <v>8</v>
      </c>
    </row>
    <row r="1054" spans="1:6">
      <c r="A1054">
        <v>5008760</v>
      </c>
      <c r="B1054">
        <v>2020</v>
      </c>
      <c r="C1054" s="10" t="s">
        <v>176</v>
      </c>
      <c r="D1054" s="15">
        <v>0</v>
      </c>
      <c r="E1054">
        <f>IFERROR(VLOOKUP(C1054,'LEAID Match'!$A$2:$B$214,2,FALSE),"")</f>
        <v>5008760</v>
      </c>
      <c r="F1054">
        <f t="shared" si="5"/>
        <v>8</v>
      </c>
    </row>
    <row r="1055" spans="1:6">
      <c r="A1055">
        <v>5008760</v>
      </c>
      <c r="B1055">
        <v>2021</v>
      </c>
      <c r="C1055" s="10" t="s">
        <v>176</v>
      </c>
      <c r="D1055" s="15">
        <v>0</v>
      </c>
      <c r="E1055">
        <f>IFERROR(VLOOKUP(C1055,'LEAID Match'!$A$2:$B$214,2,FALSE),"")</f>
        <v>5008760</v>
      </c>
      <c r="F1055">
        <f t="shared" si="5"/>
        <v>8</v>
      </c>
    </row>
    <row r="1056" spans="1:6">
      <c r="A1056">
        <v>5008760</v>
      </c>
      <c r="B1056">
        <v>2022</v>
      </c>
      <c r="C1056" s="10" t="s">
        <v>176</v>
      </c>
      <c r="D1056" s="15">
        <v>0</v>
      </c>
      <c r="E1056">
        <f>IFERROR(VLOOKUP(C1056,'LEAID Match'!$A$2:$B$214,2,FALSE),"")</f>
        <v>5008760</v>
      </c>
      <c r="F1056">
        <f t="shared" si="5"/>
        <v>8</v>
      </c>
    </row>
    <row r="1057" spans="1:6">
      <c r="A1057">
        <v>5008700</v>
      </c>
      <c r="B1057">
        <v>2015</v>
      </c>
      <c r="C1057" s="10" t="s">
        <v>175</v>
      </c>
      <c r="D1057" s="15">
        <v>139893.53</v>
      </c>
      <c r="E1057">
        <f>IFERROR(VLOOKUP(C1057,'LEAID Match'!$A$2:$B$214,2,FALSE),"")</f>
        <v>5008700</v>
      </c>
      <c r="F1057">
        <f t="shared" si="5"/>
        <v>8</v>
      </c>
    </row>
    <row r="1058" spans="1:6">
      <c r="A1058">
        <v>5008700</v>
      </c>
      <c r="B1058">
        <v>2016</v>
      </c>
      <c r="C1058" s="10" t="s">
        <v>175</v>
      </c>
      <c r="D1058" s="15">
        <v>128073.25</v>
      </c>
      <c r="E1058">
        <f>IFERROR(VLOOKUP(C1058,'LEAID Match'!$A$2:$B$214,2,FALSE),"")</f>
        <v>5008700</v>
      </c>
      <c r="F1058">
        <f t="shared" si="5"/>
        <v>8</v>
      </c>
    </row>
    <row r="1059" spans="1:6">
      <c r="A1059">
        <v>5008700</v>
      </c>
      <c r="B1059">
        <v>2017</v>
      </c>
      <c r="C1059" s="10" t="s">
        <v>175</v>
      </c>
      <c r="D1059" s="15">
        <v>144360</v>
      </c>
      <c r="E1059">
        <f>IFERROR(VLOOKUP(C1059,'LEAID Match'!$A$2:$B$214,2,FALSE),"")</f>
        <v>5008700</v>
      </c>
      <c r="F1059">
        <f t="shared" si="5"/>
        <v>8</v>
      </c>
    </row>
    <row r="1060" spans="1:6">
      <c r="A1060">
        <v>5008700</v>
      </c>
      <c r="B1060">
        <v>2018</v>
      </c>
      <c r="C1060" s="10" t="s">
        <v>175</v>
      </c>
      <c r="D1060" s="15">
        <v>204428</v>
      </c>
      <c r="E1060">
        <f>IFERROR(VLOOKUP(C1060,'LEAID Match'!$A$2:$B$214,2,FALSE),"")</f>
        <v>5008700</v>
      </c>
      <c r="F1060">
        <f t="shared" si="5"/>
        <v>8</v>
      </c>
    </row>
    <row r="1061" spans="1:6">
      <c r="A1061">
        <v>5008700</v>
      </c>
      <c r="B1061">
        <v>2019</v>
      </c>
      <c r="C1061" s="10" t="s">
        <v>175</v>
      </c>
      <c r="D1061" s="15">
        <v>210269</v>
      </c>
      <c r="E1061">
        <f>IFERROR(VLOOKUP(C1061,'LEAID Match'!$A$2:$B$214,2,FALSE),"")</f>
        <v>5008700</v>
      </c>
      <c r="F1061">
        <f t="shared" si="5"/>
        <v>8</v>
      </c>
    </row>
    <row r="1062" spans="1:6">
      <c r="A1062">
        <v>5008700</v>
      </c>
      <c r="B1062">
        <v>2020</v>
      </c>
      <c r="C1062" s="10" t="s">
        <v>175</v>
      </c>
      <c r="D1062" s="15">
        <v>218951</v>
      </c>
      <c r="E1062">
        <f>IFERROR(VLOOKUP(C1062,'LEAID Match'!$A$2:$B$214,2,FALSE),"")</f>
        <v>5008700</v>
      </c>
      <c r="F1062">
        <f t="shared" si="5"/>
        <v>8</v>
      </c>
    </row>
    <row r="1063" spans="1:6">
      <c r="A1063">
        <v>5008700</v>
      </c>
      <c r="B1063">
        <v>2021</v>
      </c>
      <c r="C1063" s="10" t="s">
        <v>175</v>
      </c>
      <c r="D1063" s="15">
        <v>237655</v>
      </c>
      <c r="E1063">
        <f>IFERROR(VLOOKUP(C1063,'LEAID Match'!$A$2:$B$214,2,FALSE),"")</f>
        <v>5008700</v>
      </c>
      <c r="F1063">
        <f t="shared" si="5"/>
        <v>8</v>
      </c>
    </row>
    <row r="1064" spans="1:6">
      <c r="A1064">
        <v>5008700</v>
      </c>
      <c r="B1064">
        <v>2022</v>
      </c>
      <c r="C1064" s="10" t="s">
        <v>175</v>
      </c>
      <c r="D1064" s="15">
        <v>597758</v>
      </c>
      <c r="E1064">
        <f>IFERROR(VLOOKUP(C1064,'LEAID Match'!$A$2:$B$214,2,FALSE),"")</f>
        <v>5008700</v>
      </c>
      <c r="F1064">
        <f t="shared" si="5"/>
        <v>8</v>
      </c>
    </row>
    <row r="1065" spans="1:6">
      <c r="A1065">
        <v>5008640</v>
      </c>
      <c r="B1065">
        <v>2015</v>
      </c>
      <c r="C1065" s="10" t="s">
        <v>173</v>
      </c>
      <c r="D1065" s="15">
        <v>95198.89</v>
      </c>
      <c r="E1065">
        <f>IFERROR(VLOOKUP(C1065,'LEAID Match'!$A$2:$B$214,2,FALSE),"")</f>
        <v>5008640</v>
      </c>
      <c r="F1065">
        <f t="shared" si="5"/>
        <v>8</v>
      </c>
    </row>
    <row r="1066" spans="1:6">
      <c r="A1066">
        <v>5008640</v>
      </c>
      <c r="B1066">
        <v>2016</v>
      </c>
      <c r="C1066" s="10" t="s">
        <v>173</v>
      </c>
      <c r="D1066" s="15">
        <v>77571.289999999994</v>
      </c>
      <c r="E1066">
        <f>IFERROR(VLOOKUP(C1066,'LEAID Match'!$A$2:$B$214,2,FALSE),"")</f>
        <v>5008640</v>
      </c>
      <c r="F1066">
        <f t="shared" si="5"/>
        <v>8</v>
      </c>
    </row>
    <row r="1067" spans="1:6">
      <c r="A1067">
        <v>5008640</v>
      </c>
      <c r="B1067">
        <v>2017</v>
      </c>
      <c r="C1067" s="10" t="s">
        <v>173</v>
      </c>
      <c r="D1067" s="15">
        <v>81233</v>
      </c>
      <c r="E1067">
        <f>IFERROR(VLOOKUP(C1067,'LEAID Match'!$A$2:$B$214,2,FALSE),"")</f>
        <v>5008640</v>
      </c>
      <c r="F1067">
        <f t="shared" si="5"/>
        <v>8</v>
      </c>
    </row>
    <row r="1068" spans="1:6">
      <c r="A1068">
        <v>5008640</v>
      </c>
      <c r="B1068">
        <v>2018</v>
      </c>
      <c r="C1068" s="10" t="s">
        <v>173</v>
      </c>
      <c r="D1068" s="15">
        <v>120099</v>
      </c>
      <c r="E1068">
        <f>IFERROR(VLOOKUP(C1068,'LEAID Match'!$A$2:$B$214,2,FALSE),"")</f>
        <v>5008640</v>
      </c>
      <c r="F1068">
        <f t="shared" si="5"/>
        <v>8</v>
      </c>
    </row>
    <row r="1069" spans="1:6">
      <c r="A1069">
        <v>5008640</v>
      </c>
      <c r="B1069">
        <v>2019</v>
      </c>
      <c r="C1069" s="10" t="s">
        <v>173</v>
      </c>
      <c r="D1069" s="15">
        <v>0</v>
      </c>
      <c r="E1069">
        <f>IFERROR(VLOOKUP(C1069,'LEAID Match'!$A$2:$B$214,2,FALSE),"")</f>
        <v>5008640</v>
      </c>
      <c r="F1069">
        <f t="shared" si="5"/>
        <v>8</v>
      </c>
    </row>
    <row r="1070" spans="1:6">
      <c r="A1070">
        <v>5008640</v>
      </c>
      <c r="B1070">
        <v>2020</v>
      </c>
      <c r="C1070" s="10" t="s">
        <v>173</v>
      </c>
      <c r="D1070" s="15">
        <v>0</v>
      </c>
      <c r="E1070">
        <f>IFERROR(VLOOKUP(C1070,'LEAID Match'!$A$2:$B$214,2,FALSE),"")</f>
        <v>5008640</v>
      </c>
      <c r="F1070">
        <f t="shared" si="5"/>
        <v>8</v>
      </c>
    </row>
    <row r="1071" spans="1:6">
      <c r="A1071">
        <v>5008640</v>
      </c>
      <c r="B1071">
        <v>2021</v>
      </c>
      <c r="C1071" s="10" t="s">
        <v>173</v>
      </c>
      <c r="D1071" s="15">
        <v>0</v>
      </c>
      <c r="E1071">
        <f>IFERROR(VLOOKUP(C1071,'LEAID Match'!$A$2:$B$214,2,FALSE),"")</f>
        <v>5008640</v>
      </c>
      <c r="F1071">
        <f t="shared" si="5"/>
        <v>8</v>
      </c>
    </row>
    <row r="1072" spans="1:6">
      <c r="A1072">
        <v>5008640</v>
      </c>
      <c r="B1072">
        <v>2022</v>
      </c>
      <c r="C1072" s="10" t="s">
        <v>173</v>
      </c>
      <c r="D1072" s="15">
        <v>0</v>
      </c>
      <c r="E1072">
        <f>IFERROR(VLOOKUP(C1072,'LEAID Match'!$A$2:$B$214,2,FALSE),"")</f>
        <v>5008640</v>
      </c>
      <c r="F1072">
        <f t="shared" si="5"/>
        <v>8</v>
      </c>
    </row>
    <row r="1073" spans="1:6">
      <c r="A1073">
        <v>5008580</v>
      </c>
      <c r="B1073">
        <v>2015</v>
      </c>
      <c r="C1073" s="10" t="s">
        <v>171</v>
      </c>
      <c r="D1073" s="15">
        <v>51941.88</v>
      </c>
      <c r="E1073">
        <f>IFERROR(VLOOKUP(C1073,'LEAID Match'!$A$2:$B$214,2,FALSE),"")</f>
        <v>5008580</v>
      </c>
      <c r="F1073">
        <f t="shared" si="5"/>
        <v>8</v>
      </c>
    </row>
    <row r="1074" spans="1:6">
      <c r="A1074">
        <v>5008580</v>
      </c>
      <c r="B1074">
        <v>2016</v>
      </c>
      <c r="C1074" s="10" t="s">
        <v>171</v>
      </c>
      <c r="D1074" s="15">
        <v>57669.8</v>
      </c>
      <c r="E1074">
        <f>IFERROR(VLOOKUP(C1074,'LEAID Match'!$A$2:$B$214,2,FALSE),"")</f>
        <v>5008580</v>
      </c>
      <c r="F1074">
        <f t="shared" si="5"/>
        <v>8</v>
      </c>
    </row>
    <row r="1075" spans="1:6">
      <c r="A1075">
        <v>5008580</v>
      </c>
      <c r="B1075">
        <v>2017</v>
      </c>
      <c r="C1075" s="10" t="s">
        <v>171</v>
      </c>
      <c r="D1075" s="15">
        <v>62224</v>
      </c>
      <c r="E1075">
        <f>IFERROR(VLOOKUP(C1075,'LEAID Match'!$A$2:$B$214,2,FALSE),"")</f>
        <v>5008580</v>
      </c>
      <c r="F1075">
        <f t="shared" si="5"/>
        <v>8</v>
      </c>
    </row>
    <row r="1076" spans="1:6">
      <c r="A1076">
        <v>5008580</v>
      </c>
      <c r="B1076">
        <v>2018</v>
      </c>
      <c r="C1076" s="10" t="s">
        <v>171</v>
      </c>
      <c r="D1076" s="15">
        <v>88709</v>
      </c>
      <c r="E1076">
        <f>IFERROR(VLOOKUP(C1076,'LEAID Match'!$A$2:$B$214,2,FALSE),"")</f>
        <v>5008580</v>
      </c>
      <c r="F1076">
        <f t="shared" si="5"/>
        <v>8</v>
      </c>
    </row>
    <row r="1077" spans="1:6">
      <c r="A1077">
        <v>5008580</v>
      </c>
      <c r="B1077">
        <v>2019</v>
      </c>
      <c r="C1077" s="10" t="s">
        <v>171</v>
      </c>
      <c r="D1077" s="15">
        <v>0</v>
      </c>
      <c r="E1077">
        <f>IFERROR(VLOOKUP(C1077,'LEAID Match'!$A$2:$B$214,2,FALSE),"")</f>
        <v>5008580</v>
      </c>
      <c r="F1077">
        <f t="shared" si="5"/>
        <v>8</v>
      </c>
    </row>
    <row r="1078" spans="1:6">
      <c r="A1078">
        <v>5008580</v>
      </c>
      <c r="B1078">
        <v>2020</v>
      </c>
      <c r="C1078" s="10" t="s">
        <v>171</v>
      </c>
      <c r="D1078" s="15">
        <v>0</v>
      </c>
      <c r="E1078">
        <f>IFERROR(VLOOKUP(C1078,'LEAID Match'!$A$2:$B$214,2,FALSE),"")</f>
        <v>5008580</v>
      </c>
      <c r="F1078">
        <f t="shared" si="5"/>
        <v>8</v>
      </c>
    </row>
    <row r="1079" spans="1:6">
      <c r="A1079">
        <v>5008580</v>
      </c>
      <c r="B1079">
        <v>2021</v>
      </c>
      <c r="C1079" s="10" t="s">
        <v>171</v>
      </c>
      <c r="D1079" s="15">
        <v>0</v>
      </c>
      <c r="E1079">
        <f>IFERROR(VLOOKUP(C1079,'LEAID Match'!$A$2:$B$214,2,FALSE),"")</f>
        <v>5008580</v>
      </c>
      <c r="F1079">
        <f t="shared" si="5"/>
        <v>8</v>
      </c>
    </row>
    <row r="1080" spans="1:6">
      <c r="A1080">
        <v>5008580</v>
      </c>
      <c r="B1080">
        <v>2022</v>
      </c>
      <c r="C1080" s="10" t="s">
        <v>171</v>
      </c>
      <c r="D1080" s="15">
        <v>0</v>
      </c>
      <c r="E1080">
        <f>IFERROR(VLOOKUP(C1080,'LEAID Match'!$A$2:$B$214,2,FALSE),"")</f>
        <v>5008580</v>
      </c>
      <c r="F1080">
        <f t="shared" si="5"/>
        <v>8</v>
      </c>
    </row>
    <row r="1081" spans="1:6">
      <c r="A1081">
        <v>5008520</v>
      </c>
      <c r="B1081">
        <v>2015</v>
      </c>
      <c r="C1081" s="10" t="s">
        <v>169</v>
      </c>
      <c r="D1081" s="15">
        <v>40178.47</v>
      </c>
      <c r="E1081">
        <f>IFERROR(VLOOKUP(C1081,'LEAID Match'!$A$2:$B$214,2,FALSE),"")</f>
        <v>5008520</v>
      </c>
      <c r="F1081">
        <f t="shared" si="5"/>
        <v>8</v>
      </c>
    </row>
    <row r="1082" spans="1:6">
      <c r="A1082">
        <v>5008520</v>
      </c>
      <c r="B1082">
        <v>2016</v>
      </c>
      <c r="C1082" s="10" t="s">
        <v>169</v>
      </c>
      <c r="D1082" s="15">
        <v>42932.77</v>
      </c>
      <c r="E1082">
        <f>IFERROR(VLOOKUP(C1082,'LEAID Match'!$A$2:$B$214,2,FALSE),"")</f>
        <v>5008520</v>
      </c>
      <c r="F1082">
        <f t="shared" si="5"/>
        <v>8</v>
      </c>
    </row>
    <row r="1083" spans="1:6">
      <c r="A1083">
        <v>5008520</v>
      </c>
      <c r="B1083">
        <v>2017</v>
      </c>
      <c r="C1083" s="10" t="s">
        <v>169</v>
      </c>
      <c r="D1083" s="15">
        <v>36188</v>
      </c>
      <c r="E1083">
        <f>IFERROR(VLOOKUP(C1083,'LEAID Match'!$A$2:$B$214,2,FALSE),"")</f>
        <v>5008520</v>
      </c>
      <c r="F1083">
        <f t="shared" si="5"/>
        <v>8</v>
      </c>
    </row>
    <row r="1084" spans="1:6">
      <c r="A1084">
        <v>5008520</v>
      </c>
      <c r="B1084">
        <v>2018</v>
      </c>
      <c r="C1084" s="10" t="s">
        <v>169</v>
      </c>
      <c r="D1084" s="15">
        <v>47628</v>
      </c>
      <c r="E1084">
        <f>IFERROR(VLOOKUP(C1084,'LEAID Match'!$A$2:$B$214,2,FALSE),"")</f>
        <v>5008520</v>
      </c>
      <c r="F1084">
        <f t="shared" si="5"/>
        <v>8</v>
      </c>
    </row>
    <row r="1085" spans="1:6">
      <c r="A1085">
        <v>5008520</v>
      </c>
      <c r="B1085">
        <v>2019</v>
      </c>
      <c r="C1085" s="10" t="s">
        <v>169</v>
      </c>
      <c r="D1085" s="15">
        <v>41917</v>
      </c>
      <c r="E1085">
        <f>IFERROR(VLOOKUP(C1085,'LEAID Match'!$A$2:$B$214,2,FALSE),"")</f>
        <v>5008520</v>
      </c>
      <c r="F1085">
        <f t="shared" si="5"/>
        <v>8</v>
      </c>
    </row>
    <row r="1086" spans="1:6">
      <c r="A1086">
        <v>5008520</v>
      </c>
      <c r="B1086">
        <v>2020</v>
      </c>
      <c r="C1086" s="10" t="s">
        <v>169</v>
      </c>
      <c r="D1086" s="15">
        <v>0</v>
      </c>
      <c r="E1086">
        <f>IFERROR(VLOOKUP(C1086,'LEAID Match'!$A$2:$B$214,2,FALSE),"")</f>
        <v>5008520</v>
      </c>
      <c r="F1086">
        <f t="shared" si="5"/>
        <v>8</v>
      </c>
    </row>
    <row r="1087" spans="1:6">
      <c r="A1087">
        <v>5008520</v>
      </c>
      <c r="B1087">
        <v>2021</v>
      </c>
      <c r="C1087" s="10" t="s">
        <v>169</v>
      </c>
      <c r="D1087" s="15">
        <v>0</v>
      </c>
      <c r="E1087">
        <f>IFERROR(VLOOKUP(C1087,'LEAID Match'!$A$2:$B$214,2,FALSE),"")</f>
        <v>5008520</v>
      </c>
      <c r="F1087">
        <f t="shared" si="5"/>
        <v>8</v>
      </c>
    </row>
    <row r="1088" spans="1:6">
      <c r="A1088">
        <v>5008520</v>
      </c>
      <c r="B1088">
        <v>2022</v>
      </c>
      <c r="C1088" s="10" t="s">
        <v>169</v>
      </c>
      <c r="D1088" s="15">
        <v>0</v>
      </c>
      <c r="E1088">
        <f>IFERROR(VLOOKUP(C1088,'LEAID Match'!$A$2:$B$214,2,FALSE),"")</f>
        <v>5008520</v>
      </c>
      <c r="F1088">
        <f t="shared" si="5"/>
        <v>8</v>
      </c>
    </row>
    <row r="1089" spans="1:6">
      <c r="A1089">
        <v>5008430</v>
      </c>
      <c r="B1089">
        <v>2015</v>
      </c>
      <c r="C1089" s="10" t="s">
        <v>167</v>
      </c>
      <c r="D1089" s="15">
        <v>69364.899999999994</v>
      </c>
      <c r="E1089">
        <f>IFERROR(VLOOKUP(C1089,'LEAID Match'!$A$2:$B$214,2,FALSE),"")</f>
        <v>5008430</v>
      </c>
      <c r="F1089">
        <f t="shared" si="5"/>
        <v>8</v>
      </c>
    </row>
    <row r="1090" spans="1:6">
      <c r="A1090">
        <v>5008430</v>
      </c>
      <c r="B1090">
        <v>2016</v>
      </c>
      <c r="C1090" s="10" t="s">
        <v>167</v>
      </c>
      <c r="D1090" s="15">
        <v>64729.87</v>
      </c>
      <c r="E1090">
        <f>IFERROR(VLOOKUP(C1090,'LEAID Match'!$A$2:$B$214,2,FALSE),"")</f>
        <v>5008430</v>
      </c>
      <c r="F1090">
        <f t="shared" ref="F1090:F1153" si="6">COUNTIF($A$705:$A$2272,A1090)</f>
        <v>8</v>
      </c>
    </row>
    <row r="1091" spans="1:6">
      <c r="A1091">
        <v>5008430</v>
      </c>
      <c r="B1091">
        <v>2017</v>
      </c>
      <c r="C1091" s="10" t="s">
        <v>167</v>
      </c>
      <c r="D1091" s="15">
        <v>64401</v>
      </c>
      <c r="E1091">
        <f>IFERROR(VLOOKUP(C1091,'LEAID Match'!$A$2:$B$214,2,FALSE),"")</f>
        <v>5008430</v>
      </c>
      <c r="F1091">
        <f t="shared" si="6"/>
        <v>8</v>
      </c>
    </row>
    <row r="1092" spans="1:6">
      <c r="A1092">
        <v>5008430</v>
      </c>
      <c r="B1092">
        <v>2018</v>
      </c>
      <c r="C1092" s="10" t="s">
        <v>167</v>
      </c>
      <c r="D1092" s="15">
        <v>102797</v>
      </c>
      <c r="E1092">
        <f>IFERROR(VLOOKUP(C1092,'LEAID Match'!$A$2:$B$214,2,FALSE),"")</f>
        <v>5008430</v>
      </c>
      <c r="F1092">
        <f t="shared" si="6"/>
        <v>8</v>
      </c>
    </row>
    <row r="1093" spans="1:6">
      <c r="A1093">
        <v>5008430</v>
      </c>
      <c r="B1093">
        <v>2019</v>
      </c>
      <c r="C1093" s="10" t="s">
        <v>167</v>
      </c>
      <c r="D1093" s="15">
        <v>0</v>
      </c>
      <c r="E1093">
        <f>IFERROR(VLOOKUP(C1093,'LEAID Match'!$A$2:$B$214,2,FALSE),"")</f>
        <v>5008430</v>
      </c>
      <c r="F1093">
        <f t="shared" si="6"/>
        <v>8</v>
      </c>
    </row>
    <row r="1094" spans="1:6">
      <c r="A1094">
        <v>5008430</v>
      </c>
      <c r="B1094">
        <v>2020</v>
      </c>
      <c r="C1094" s="10" t="s">
        <v>167</v>
      </c>
      <c r="D1094" s="15">
        <v>0</v>
      </c>
      <c r="E1094">
        <f>IFERROR(VLOOKUP(C1094,'LEAID Match'!$A$2:$B$214,2,FALSE),"")</f>
        <v>5008430</v>
      </c>
      <c r="F1094">
        <f t="shared" si="6"/>
        <v>8</v>
      </c>
    </row>
    <row r="1095" spans="1:6">
      <c r="A1095">
        <v>5008430</v>
      </c>
      <c r="B1095">
        <v>2021</v>
      </c>
      <c r="C1095" s="10" t="s">
        <v>167</v>
      </c>
      <c r="D1095" s="15">
        <v>0</v>
      </c>
      <c r="E1095">
        <f>IFERROR(VLOOKUP(C1095,'LEAID Match'!$A$2:$B$214,2,FALSE),"")</f>
        <v>5008430</v>
      </c>
      <c r="F1095">
        <f t="shared" si="6"/>
        <v>8</v>
      </c>
    </row>
    <row r="1096" spans="1:6">
      <c r="A1096">
        <v>5008430</v>
      </c>
      <c r="B1096">
        <v>2022</v>
      </c>
      <c r="C1096" s="10" t="s">
        <v>167</v>
      </c>
      <c r="D1096" s="15">
        <v>0</v>
      </c>
      <c r="E1096">
        <f>IFERROR(VLOOKUP(C1096,'LEAID Match'!$A$2:$B$214,2,FALSE),"")</f>
        <v>5008430</v>
      </c>
      <c r="F1096">
        <f t="shared" si="6"/>
        <v>8</v>
      </c>
    </row>
    <row r="1097" spans="1:6">
      <c r="A1097">
        <v>5008310</v>
      </c>
      <c r="B1097">
        <v>2015</v>
      </c>
      <c r="C1097" s="10" t="s">
        <v>165</v>
      </c>
      <c r="D1097" s="15">
        <v>130740.65</v>
      </c>
      <c r="E1097">
        <f>IFERROR(VLOOKUP(C1097,'LEAID Match'!$A$2:$B$214,2,FALSE),"")</f>
        <v>5008310</v>
      </c>
      <c r="F1097">
        <f t="shared" si="6"/>
        <v>8</v>
      </c>
    </row>
    <row r="1098" spans="1:6">
      <c r="A1098">
        <v>5008310</v>
      </c>
      <c r="B1098">
        <v>2016</v>
      </c>
      <c r="C1098" s="10" t="s">
        <v>165</v>
      </c>
      <c r="D1098" s="15">
        <v>120097.21</v>
      </c>
      <c r="E1098">
        <f>IFERROR(VLOOKUP(C1098,'LEAID Match'!$A$2:$B$214,2,FALSE),"")</f>
        <v>5008310</v>
      </c>
      <c r="F1098">
        <f t="shared" si="6"/>
        <v>8</v>
      </c>
    </row>
    <row r="1099" spans="1:6">
      <c r="A1099">
        <v>5008310</v>
      </c>
      <c r="B1099">
        <v>2017</v>
      </c>
      <c r="C1099" s="10" t="s">
        <v>165</v>
      </c>
      <c r="D1099" s="15">
        <v>129547</v>
      </c>
      <c r="E1099">
        <f>IFERROR(VLOOKUP(C1099,'LEAID Match'!$A$2:$B$214,2,FALSE),"")</f>
        <v>5008310</v>
      </c>
      <c r="F1099">
        <f t="shared" si="6"/>
        <v>8</v>
      </c>
    </row>
    <row r="1100" spans="1:6">
      <c r="A1100">
        <v>5008310</v>
      </c>
      <c r="B1100">
        <v>2018</v>
      </c>
      <c r="C1100" s="10" t="s">
        <v>165</v>
      </c>
      <c r="D1100" s="15">
        <v>169970</v>
      </c>
      <c r="E1100">
        <f>IFERROR(VLOOKUP(C1100,'LEAID Match'!$A$2:$B$214,2,FALSE),"")</f>
        <v>5008310</v>
      </c>
      <c r="F1100">
        <f t="shared" si="6"/>
        <v>8</v>
      </c>
    </row>
    <row r="1101" spans="1:6">
      <c r="A1101">
        <v>5008310</v>
      </c>
      <c r="B1101">
        <v>2019</v>
      </c>
      <c r="C1101" s="10" t="s">
        <v>165</v>
      </c>
      <c r="D1101" s="15">
        <v>189936</v>
      </c>
      <c r="E1101">
        <f>IFERROR(VLOOKUP(C1101,'LEAID Match'!$A$2:$B$214,2,FALSE),"")</f>
        <v>5008310</v>
      </c>
      <c r="F1101">
        <f t="shared" si="6"/>
        <v>8</v>
      </c>
    </row>
    <row r="1102" spans="1:6">
      <c r="A1102">
        <v>5008310</v>
      </c>
      <c r="B1102">
        <v>2020</v>
      </c>
      <c r="C1102" s="10" t="s">
        <v>165</v>
      </c>
      <c r="D1102" s="15">
        <v>204690</v>
      </c>
      <c r="E1102">
        <f>IFERROR(VLOOKUP(C1102,'LEAID Match'!$A$2:$B$214,2,FALSE),"")</f>
        <v>5008310</v>
      </c>
      <c r="F1102">
        <f t="shared" si="6"/>
        <v>8</v>
      </c>
    </row>
    <row r="1103" spans="1:6">
      <c r="A1103">
        <v>5008310</v>
      </c>
      <c r="B1103">
        <v>2021</v>
      </c>
      <c r="C1103" s="10" t="s">
        <v>165</v>
      </c>
      <c r="D1103" s="15">
        <v>204270</v>
      </c>
      <c r="E1103">
        <f>IFERROR(VLOOKUP(C1103,'LEAID Match'!$A$2:$B$214,2,FALSE),"")</f>
        <v>5008310</v>
      </c>
      <c r="F1103">
        <f t="shared" si="6"/>
        <v>8</v>
      </c>
    </row>
    <row r="1104" spans="1:6">
      <c r="A1104">
        <v>5008310</v>
      </c>
      <c r="B1104">
        <v>2022</v>
      </c>
      <c r="C1104" s="10" t="s">
        <v>165</v>
      </c>
      <c r="D1104" s="15">
        <v>528514</v>
      </c>
      <c r="E1104">
        <f>IFERROR(VLOOKUP(C1104,'LEAID Match'!$A$2:$B$214,2,FALSE),"")</f>
        <v>5008310</v>
      </c>
      <c r="F1104">
        <f t="shared" si="6"/>
        <v>8</v>
      </c>
    </row>
    <row r="1105" spans="1:6">
      <c r="A1105">
        <v>5008248</v>
      </c>
      <c r="B1105">
        <v>2015</v>
      </c>
      <c r="C1105" s="10" t="s">
        <v>265</v>
      </c>
      <c r="D1105" s="15">
        <v>271215.40999999997</v>
      </c>
      <c r="E1105">
        <f>IFERROR(VLOOKUP(C1105,'LEAID Match'!$A$2:$B$214,2,FALSE),"")</f>
        <v>5008248</v>
      </c>
      <c r="F1105">
        <f t="shared" si="6"/>
        <v>8</v>
      </c>
    </row>
    <row r="1106" spans="1:6">
      <c r="A1106">
        <v>5008248</v>
      </c>
      <c r="B1106">
        <v>2016</v>
      </c>
      <c r="C1106" s="10" t="s">
        <v>265</v>
      </c>
      <c r="D1106" s="15">
        <v>225473.16</v>
      </c>
      <c r="E1106">
        <f>IFERROR(VLOOKUP(C1106,'LEAID Match'!$A$2:$B$214,2,FALSE),"")</f>
        <v>5008248</v>
      </c>
      <c r="F1106">
        <f t="shared" si="6"/>
        <v>8</v>
      </c>
    </row>
    <row r="1107" spans="1:6">
      <c r="A1107">
        <v>5008248</v>
      </c>
      <c r="B1107">
        <v>2017</v>
      </c>
      <c r="C1107" s="10" t="s">
        <v>265</v>
      </c>
      <c r="D1107" s="15">
        <v>239060</v>
      </c>
      <c r="E1107">
        <f>IFERROR(VLOOKUP(C1107,'LEAID Match'!$A$2:$B$214,2,FALSE),"")</f>
        <v>5008248</v>
      </c>
      <c r="F1107">
        <f t="shared" si="6"/>
        <v>8</v>
      </c>
    </row>
    <row r="1108" spans="1:6">
      <c r="A1108">
        <v>5008248</v>
      </c>
      <c r="B1108">
        <v>2018</v>
      </c>
      <c r="C1108" s="10" t="s">
        <v>265</v>
      </c>
      <c r="D1108" s="15">
        <v>329344</v>
      </c>
      <c r="E1108">
        <f>IFERROR(VLOOKUP(C1108,'LEAID Match'!$A$2:$B$214,2,FALSE),"")</f>
        <v>5008248</v>
      </c>
      <c r="F1108">
        <f t="shared" si="6"/>
        <v>8</v>
      </c>
    </row>
    <row r="1109" spans="1:6">
      <c r="A1109">
        <v>5008248</v>
      </c>
      <c r="B1109">
        <v>2019</v>
      </c>
      <c r="C1109" s="10" t="s">
        <v>265</v>
      </c>
      <c r="D1109" s="15">
        <v>0</v>
      </c>
      <c r="E1109">
        <f>IFERROR(VLOOKUP(C1109,'LEAID Match'!$A$2:$B$214,2,FALSE),"")</f>
        <v>5008248</v>
      </c>
      <c r="F1109">
        <f t="shared" si="6"/>
        <v>8</v>
      </c>
    </row>
    <row r="1110" spans="1:6">
      <c r="A1110">
        <v>5008248</v>
      </c>
      <c r="B1110">
        <v>2020</v>
      </c>
      <c r="C1110" s="10" t="s">
        <v>265</v>
      </c>
      <c r="D1110" s="15">
        <v>0</v>
      </c>
      <c r="E1110">
        <f>IFERROR(VLOOKUP(C1110,'LEAID Match'!$A$2:$B$214,2,FALSE),"")</f>
        <v>5008248</v>
      </c>
      <c r="F1110">
        <f t="shared" si="6"/>
        <v>8</v>
      </c>
    </row>
    <row r="1111" spans="1:6">
      <c r="A1111">
        <v>5008248</v>
      </c>
      <c r="B1111">
        <v>2021</v>
      </c>
      <c r="C1111" s="10" t="s">
        <v>265</v>
      </c>
      <c r="D1111" s="15">
        <v>0</v>
      </c>
      <c r="E1111">
        <f>IFERROR(VLOOKUP(C1111,'LEAID Match'!$A$2:$B$214,2,FALSE),"")</f>
        <v>5008248</v>
      </c>
      <c r="F1111">
        <f t="shared" si="6"/>
        <v>8</v>
      </c>
    </row>
    <row r="1112" spans="1:6">
      <c r="A1112">
        <v>5008248</v>
      </c>
      <c r="B1112">
        <v>2022</v>
      </c>
      <c r="C1112" s="10" t="s">
        <v>265</v>
      </c>
      <c r="D1112" s="15">
        <v>0</v>
      </c>
      <c r="E1112">
        <f>IFERROR(VLOOKUP(C1112,'LEAID Match'!$A$2:$B$214,2,FALSE),"")</f>
        <v>5008248</v>
      </c>
      <c r="F1112">
        <f t="shared" si="6"/>
        <v>8</v>
      </c>
    </row>
    <row r="1113" spans="1:6">
      <c r="A1113">
        <v>5008247</v>
      </c>
      <c r="B1113">
        <v>2015</v>
      </c>
      <c r="C1113" s="10" t="s">
        <v>271</v>
      </c>
      <c r="D1113" s="15">
        <v>367266.13</v>
      </c>
      <c r="E1113">
        <f>IFERROR(VLOOKUP(C1113,'LEAID Match'!$A$2:$B$214,2,FALSE),"")</f>
        <v>5008247</v>
      </c>
      <c r="F1113">
        <f t="shared" si="6"/>
        <v>8</v>
      </c>
    </row>
    <row r="1114" spans="1:6">
      <c r="A1114">
        <v>5008247</v>
      </c>
      <c r="B1114">
        <v>2016</v>
      </c>
      <c r="C1114" s="10" t="s">
        <v>271</v>
      </c>
      <c r="D1114" s="15">
        <v>360477.54</v>
      </c>
      <c r="E1114">
        <f>IFERROR(VLOOKUP(C1114,'LEAID Match'!$A$2:$B$214,2,FALSE),"")</f>
        <v>5008247</v>
      </c>
      <c r="F1114">
        <f t="shared" si="6"/>
        <v>8</v>
      </c>
    </row>
    <row r="1115" spans="1:6">
      <c r="A1115">
        <v>5008247</v>
      </c>
      <c r="B1115">
        <v>2017</v>
      </c>
      <c r="C1115" s="10" t="s">
        <v>271</v>
      </c>
      <c r="D1115" s="15">
        <v>345820</v>
      </c>
      <c r="E1115">
        <f>IFERROR(VLOOKUP(C1115,'LEAID Match'!$A$2:$B$214,2,FALSE),"")</f>
        <v>5008247</v>
      </c>
      <c r="F1115">
        <f t="shared" si="6"/>
        <v>8</v>
      </c>
    </row>
    <row r="1116" spans="1:6">
      <c r="A1116">
        <v>5008247</v>
      </c>
      <c r="B1116">
        <v>2018</v>
      </c>
      <c r="C1116" s="10" t="s">
        <v>271</v>
      </c>
      <c r="D1116" s="15">
        <v>479806</v>
      </c>
      <c r="E1116">
        <f>IFERROR(VLOOKUP(C1116,'LEAID Match'!$A$2:$B$214,2,FALSE),"")</f>
        <v>5008247</v>
      </c>
      <c r="F1116">
        <f t="shared" si="6"/>
        <v>8</v>
      </c>
    </row>
    <row r="1117" spans="1:6">
      <c r="A1117">
        <v>5008247</v>
      </c>
      <c r="B1117">
        <v>2019</v>
      </c>
      <c r="C1117" s="10" t="s">
        <v>271</v>
      </c>
      <c r="D1117" s="15">
        <v>463664</v>
      </c>
      <c r="E1117">
        <f>IFERROR(VLOOKUP(C1117,'LEAID Match'!$A$2:$B$214,2,FALSE),"")</f>
        <v>5008247</v>
      </c>
      <c r="F1117">
        <f t="shared" si="6"/>
        <v>8</v>
      </c>
    </row>
    <row r="1118" spans="1:6">
      <c r="A1118">
        <v>5008247</v>
      </c>
      <c r="B1118">
        <v>2020</v>
      </c>
      <c r="C1118" s="10" t="s">
        <v>271</v>
      </c>
      <c r="D1118" s="15">
        <v>0</v>
      </c>
      <c r="E1118">
        <f>IFERROR(VLOOKUP(C1118,'LEAID Match'!$A$2:$B$214,2,FALSE),"")</f>
        <v>5008247</v>
      </c>
      <c r="F1118">
        <f t="shared" si="6"/>
        <v>8</v>
      </c>
    </row>
    <row r="1119" spans="1:6">
      <c r="A1119">
        <v>5008247</v>
      </c>
      <c r="B1119">
        <v>2021</v>
      </c>
      <c r="C1119" s="10" t="s">
        <v>271</v>
      </c>
      <c r="D1119" s="15">
        <v>0</v>
      </c>
      <c r="E1119">
        <f>IFERROR(VLOOKUP(C1119,'LEAID Match'!$A$2:$B$214,2,FALSE),"")</f>
        <v>5008247</v>
      </c>
      <c r="F1119">
        <f t="shared" si="6"/>
        <v>8</v>
      </c>
    </row>
    <row r="1120" spans="1:6">
      <c r="A1120">
        <v>5008247</v>
      </c>
      <c r="B1120">
        <v>2022</v>
      </c>
      <c r="C1120" s="10" t="s">
        <v>271</v>
      </c>
      <c r="D1120" s="15">
        <v>0</v>
      </c>
      <c r="E1120">
        <f>IFERROR(VLOOKUP(C1120,'LEAID Match'!$A$2:$B$214,2,FALSE),"")</f>
        <v>5008247</v>
      </c>
      <c r="F1120">
        <f t="shared" si="6"/>
        <v>8</v>
      </c>
    </row>
    <row r="1121" spans="1:6">
      <c r="A1121">
        <v>5008243</v>
      </c>
      <c r="B1121">
        <v>2015</v>
      </c>
      <c r="C1121" s="10" t="s">
        <v>262</v>
      </c>
      <c r="D1121" s="15">
        <v>243266.01</v>
      </c>
      <c r="E1121">
        <f>IFERROR(VLOOKUP(C1121,'LEAID Match'!$A$2:$B$214,2,FALSE),"")</f>
        <v>5008243</v>
      </c>
      <c r="F1121">
        <f t="shared" si="6"/>
        <v>8</v>
      </c>
    </row>
    <row r="1122" spans="1:6">
      <c r="A1122">
        <v>5008243</v>
      </c>
      <c r="B1122">
        <v>2016</v>
      </c>
      <c r="C1122" s="10" t="s">
        <v>262</v>
      </c>
      <c r="D1122" s="15">
        <v>234203.66</v>
      </c>
      <c r="E1122">
        <f>IFERROR(VLOOKUP(C1122,'LEAID Match'!$A$2:$B$214,2,FALSE),"")</f>
        <v>5008243</v>
      </c>
      <c r="F1122">
        <f t="shared" si="6"/>
        <v>8</v>
      </c>
    </row>
    <row r="1123" spans="1:6">
      <c r="A1123">
        <v>5008243</v>
      </c>
      <c r="B1123">
        <v>2017</v>
      </c>
      <c r="C1123" s="10" t="s">
        <v>262</v>
      </c>
      <c r="D1123" s="15">
        <v>247439</v>
      </c>
      <c r="E1123">
        <f>IFERROR(VLOOKUP(C1123,'LEAID Match'!$A$2:$B$214,2,FALSE),"")</f>
        <v>5008243</v>
      </c>
      <c r="F1123">
        <f t="shared" si="6"/>
        <v>8</v>
      </c>
    </row>
    <row r="1124" spans="1:6">
      <c r="A1124">
        <v>5008243</v>
      </c>
      <c r="B1124">
        <v>2018</v>
      </c>
      <c r="C1124" s="10" t="s">
        <v>262</v>
      </c>
      <c r="D1124" s="15">
        <v>292304</v>
      </c>
      <c r="E1124">
        <f>IFERROR(VLOOKUP(C1124,'LEAID Match'!$A$2:$B$214,2,FALSE),"")</f>
        <v>5008243</v>
      </c>
      <c r="F1124">
        <f t="shared" si="6"/>
        <v>8</v>
      </c>
    </row>
    <row r="1125" spans="1:6">
      <c r="A1125">
        <v>5008243</v>
      </c>
      <c r="B1125">
        <v>2019</v>
      </c>
      <c r="C1125" s="10" t="s">
        <v>262</v>
      </c>
      <c r="D1125" s="15">
        <v>283935</v>
      </c>
      <c r="E1125">
        <f>IFERROR(VLOOKUP(C1125,'LEAID Match'!$A$2:$B$214,2,FALSE),"")</f>
        <v>5008243</v>
      </c>
      <c r="F1125">
        <f t="shared" si="6"/>
        <v>8</v>
      </c>
    </row>
    <row r="1126" spans="1:6">
      <c r="A1126">
        <v>5008243</v>
      </c>
      <c r="B1126">
        <v>2020</v>
      </c>
      <c r="C1126" s="10" t="s">
        <v>262</v>
      </c>
      <c r="D1126" s="15">
        <v>338716</v>
      </c>
      <c r="E1126">
        <f>IFERROR(VLOOKUP(C1126,'LEAID Match'!$A$2:$B$214,2,FALSE),"")</f>
        <v>5008243</v>
      </c>
      <c r="F1126">
        <f t="shared" si="6"/>
        <v>8</v>
      </c>
    </row>
    <row r="1127" spans="1:6">
      <c r="A1127">
        <v>5008243</v>
      </c>
      <c r="B1127">
        <v>2021</v>
      </c>
      <c r="C1127" s="10" t="s">
        <v>262</v>
      </c>
      <c r="D1127" s="15">
        <v>359954</v>
      </c>
      <c r="E1127">
        <f>IFERROR(VLOOKUP(C1127,'LEAID Match'!$A$2:$B$214,2,FALSE),"")</f>
        <v>5008243</v>
      </c>
      <c r="F1127">
        <f t="shared" si="6"/>
        <v>8</v>
      </c>
    </row>
    <row r="1128" spans="1:6">
      <c r="A1128">
        <v>5008243</v>
      </c>
      <c r="B1128">
        <v>2022</v>
      </c>
      <c r="C1128" s="10" t="s">
        <v>262</v>
      </c>
      <c r="D1128" s="15">
        <v>873836</v>
      </c>
      <c r="E1128">
        <f>IFERROR(VLOOKUP(C1128,'LEAID Match'!$A$2:$B$214,2,FALSE),"")</f>
        <v>5008243</v>
      </c>
      <c r="F1128">
        <f t="shared" si="6"/>
        <v>8</v>
      </c>
    </row>
    <row r="1129" spans="1:6">
      <c r="A1129">
        <v>5008237</v>
      </c>
      <c r="B1129">
        <v>2015</v>
      </c>
      <c r="C1129" s="10" t="s">
        <v>272</v>
      </c>
      <c r="D1129" s="15">
        <v>534604.43999999994</v>
      </c>
      <c r="E1129">
        <f>IFERROR(VLOOKUP(C1129,'LEAID Match'!$A$2:$B$214,2,FALSE),"")</f>
        <v>5008237</v>
      </c>
      <c r="F1129">
        <f t="shared" si="6"/>
        <v>8</v>
      </c>
    </row>
    <row r="1130" spans="1:6">
      <c r="A1130">
        <v>5008237</v>
      </c>
      <c r="B1130">
        <v>2016</v>
      </c>
      <c r="C1130" s="10" t="s">
        <v>272</v>
      </c>
      <c r="D1130" s="15">
        <v>525994.1</v>
      </c>
      <c r="E1130">
        <f>IFERROR(VLOOKUP(C1130,'LEAID Match'!$A$2:$B$214,2,FALSE),"")</f>
        <v>5008237</v>
      </c>
      <c r="F1130">
        <f t="shared" si="6"/>
        <v>8</v>
      </c>
    </row>
    <row r="1131" spans="1:6">
      <c r="A1131">
        <v>5008237</v>
      </c>
      <c r="B1131">
        <v>2017</v>
      </c>
      <c r="C1131" s="10" t="s">
        <v>272</v>
      </c>
      <c r="D1131" s="15">
        <v>568234</v>
      </c>
      <c r="E1131">
        <f>IFERROR(VLOOKUP(C1131,'LEAID Match'!$A$2:$B$214,2,FALSE),"")</f>
        <v>5008237</v>
      </c>
      <c r="F1131">
        <f t="shared" si="6"/>
        <v>8</v>
      </c>
    </row>
    <row r="1132" spans="1:6">
      <c r="A1132">
        <v>5008237</v>
      </c>
      <c r="B1132">
        <v>2018</v>
      </c>
      <c r="C1132" s="10" t="s">
        <v>272</v>
      </c>
      <c r="D1132" s="15">
        <v>776245</v>
      </c>
      <c r="E1132">
        <f>IFERROR(VLOOKUP(C1132,'LEAID Match'!$A$2:$B$214,2,FALSE),"")</f>
        <v>5008237</v>
      </c>
      <c r="F1132">
        <f t="shared" si="6"/>
        <v>8</v>
      </c>
    </row>
    <row r="1133" spans="1:6">
      <c r="A1133">
        <v>5008237</v>
      </c>
      <c r="B1133">
        <v>2019</v>
      </c>
      <c r="C1133" s="10" t="s">
        <v>272</v>
      </c>
      <c r="D1133" s="15">
        <v>833438</v>
      </c>
      <c r="E1133">
        <f>IFERROR(VLOOKUP(C1133,'LEAID Match'!$A$2:$B$214,2,FALSE),"")</f>
        <v>5008237</v>
      </c>
      <c r="F1133">
        <f t="shared" si="6"/>
        <v>8</v>
      </c>
    </row>
    <row r="1134" spans="1:6">
      <c r="A1134">
        <v>5008237</v>
      </c>
      <c r="B1134">
        <v>2020</v>
      </c>
      <c r="C1134" s="10" t="s">
        <v>272</v>
      </c>
      <c r="D1134" s="15">
        <v>0</v>
      </c>
      <c r="E1134">
        <f>IFERROR(VLOOKUP(C1134,'LEAID Match'!$A$2:$B$214,2,FALSE),"")</f>
        <v>5008237</v>
      </c>
      <c r="F1134">
        <f t="shared" si="6"/>
        <v>8</v>
      </c>
    </row>
    <row r="1135" spans="1:6">
      <c r="A1135">
        <v>5008237</v>
      </c>
      <c r="B1135">
        <v>2021</v>
      </c>
      <c r="C1135" s="10" t="s">
        <v>272</v>
      </c>
      <c r="D1135" s="15">
        <v>0</v>
      </c>
      <c r="E1135">
        <f>IFERROR(VLOOKUP(C1135,'LEAID Match'!$A$2:$B$214,2,FALSE),"")</f>
        <v>5008237</v>
      </c>
      <c r="F1135">
        <f t="shared" si="6"/>
        <v>8</v>
      </c>
    </row>
    <row r="1136" spans="1:6">
      <c r="A1136">
        <v>5008237</v>
      </c>
      <c r="B1136">
        <v>2022</v>
      </c>
      <c r="C1136" s="10" t="s">
        <v>272</v>
      </c>
      <c r="D1136" s="15">
        <v>0</v>
      </c>
      <c r="E1136">
        <f>IFERROR(VLOOKUP(C1136,'LEAID Match'!$A$2:$B$214,2,FALSE),"")</f>
        <v>5008237</v>
      </c>
      <c r="F1136">
        <f t="shared" si="6"/>
        <v>8</v>
      </c>
    </row>
    <row r="1137" spans="1:6">
      <c r="A1137">
        <v>5008235</v>
      </c>
      <c r="B1137">
        <v>2015</v>
      </c>
      <c r="C1137" s="10" t="s">
        <v>258</v>
      </c>
      <c r="D1137" s="15">
        <v>639846.22</v>
      </c>
      <c r="E1137">
        <f>IFERROR(VLOOKUP(C1137,'LEAID Match'!$A$2:$B$214,2,FALSE),"")</f>
        <v>5008235</v>
      </c>
      <c r="F1137">
        <f t="shared" si="6"/>
        <v>8</v>
      </c>
    </row>
    <row r="1138" spans="1:6">
      <c r="A1138">
        <v>5008235</v>
      </c>
      <c r="B1138">
        <v>2016</v>
      </c>
      <c r="C1138" s="10" t="s">
        <v>258</v>
      </c>
      <c r="D1138" s="15">
        <v>484471.08</v>
      </c>
      <c r="E1138">
        <f>IFERROR(VLOOKUP(C1138,'LEAID Match'!$A$2:$B$214,2,FALSE),"")</f>
        <v>5008235</v>
      </c>
      <c r="F1138">
        <f t="shared" si="6"/>
        <v>8</v>
      </c>
    </row>
    <row r="1139" spans="1:6">
      <c r="A1139">
        <v>5008235</v>
      </c>
      <c r="B1139">
        <v>2017</v>
      </c>
      <c r="C1139" s="10" t="s">
        <v>258</v>
      </c>
      <c r="D1139" s="15">
        <v>527690</v>
      </c>
      <c r="E1139">
        <f>IFERROR(VLOOKUP(C1139,'LEAID Match'!$A$2:$B$214,2,FALSE),"")</f>
        <v>5008235</v>
      </c>
      <c r="F1139">
        <f t="shared" si="6"/>
        <v>8</v>
      </c>
    </row>
    <row r="1140" spans="1:6">
      <c r="A1140">
        <v>5008235</v>
      </c>
      <c r="B1140">
        <v>2018</v>
      </c>
      <c r="C1140" s="10" t="s">
        <v>258</v>
      </c>
      <c r="D1140" s="15">
        <v>747215</v>
      </c>
      <c r="E1140">
        <f>IFERROR(VLOOKUP(C1140,'LEAID Match'!$A$2:$B$214,2,FALSE),"")</f>
        <v>5008235</v>
      </c>
      <c r="F1140">
        <f t="shared" si="6"/>
        <v>8</v>
      </c>
    </row>
    <row r="1141" spans="1:6">
      <c r="A1141">
        <v>5008235</v>
      </c>
      <c r="B1141">
        <v>2019</v>
      </c>
      <c r="C1141" s="10" t="s">
        <v>258</v>
      </c>
      <c r="D1141" s="15">
        <v>0</v>
      </c>
      <c r="E1141">
        <f>IFERROR(VLOOKUP(C1141,'LEAID Match'!$A$2:$B$214,2,FALSE),"")</f>
        <v>5008235</v>
      </c>
      <c r="F1141">
        <f t="shared" si="6"/>
        <v>8</v>
      </c>
    </row>
    <row r="1142" spans="1:6">
      <c r="A1142">
        <v>5008235</v>
      </c>
      <c r="B1142">
        <v>2020</v>
      </c>
      <c r="C1142" s="10" t="s">
        <v>258</v>
      </c>
      <c r="D1142" s="15">
        <v>0</v>
      </c>
      <c r="E1142">
        <f>IFERROR(VLOOKUP(C1142,'LEAID Match'!$A$2:$B$214,2,FALSE),"")</f>
        <v>5008235</v>
      </c>
      <c r="F1142">
        <f t="shared" si="6"/>
        <v>8</v>
      </c>
    </row>
    <row r="1143" spans="1:6">
      <c r="A1143">
        <v>5008235</v>
      </c>
      <c r="B1143">
        <v>2021</v>
      </c>
      <c r="C1143" s="10" t="s">
        <v>258</v>
      </c>
      <c r="D1143" s="15">
        <v>0</v>
      </c>
      <c r="E1143">
        <f>IFERROR(VLOOKUP(C1143,'LEAID Match'!$A$2:$B$214,2,FALSE),"")</f>
        <v>5008235</v>
      </c>
      <c r="F1143">
        <f t="shared" si="6"/>
        <v>8</v>
      </c>
    </row>
    <row r="1144" spans="1:6">
      <c r="A1144">
        <v>5008235</v>
      </c>
      <c r="B1144">
        <v>2022</v>
      </c>
      <c r="C1144" s="10" t="s">
        <v>258</v>
      </c>
      <c r="D1144" s="15">
        <v>0</v>
      </c>
      <c r="E1144">
        <f>IFERROR(VLOOKUP(C1144,'LEAID Match'!$A$2:$B$214,2,FALSE),"")</f>
        <v>5008235</v>
      </c>
      <c r="F1144">
        <f t="shared" si="6"/>
        <v>8</v>
      </c>
    </row>
    <row r="1145" spans="1:6">
      <c r="A1145">
        <v>5008225</v>
      </c>
      <c r="B1145">
        <v>2015</v>
      </c>
      <c r="C1145" s="10" t="s">
        <v>224</v>
      </c>
      <c r="D1145" s="15">
        <v>297423.09999999998</v>
      </c>
      <c r="E1145">
        <f>IFERROR(VLOOKUP(C1145,'LEAID Match'!$A$2:$B$214,2,FALSE),"")</f>
        <v>5008225</v>
      </c>
      <c r="F1145">
        <f t="shared" si="6"/>
        <v>8</v>
      </c>
    </row>
    <row r="1146" spans="1:6">
      <c r="A1146">
        <v>5008225</v>
      </c>
      <c r="B1146">
        <v>2016</v>
      </c>
      <c r="C1146" s="10" t="s">
        <v>224</v>
      </c>
      <c r="D1146" s="15">
        <v>284679.74</v>
      </c>
      <c r="E1146">
        <f>IFERROR(VLOOKUP(C1146,'LEAID Match'!$A$2:$B$214,2,FALSE),"")</f>
        <v>5008225</v>
      </c>
      <c r="F1146">
        <f t="shared" si="6"/>
        <v>8</v>
      </c>
    </row>
    <row r="1147" spans="1:6">
      <c r="A1147">
        <v>5008225</v>
      </c>
      <c r="B1147">
        <v>2017</v>
      </c>
      <c r="C1147" s="10" t="s">
        <v>224</v>
      </c>
      <c r="D1147" s="15">
        <v>305776</v>
      </c>
      <c r="E1147">
        <f>IFERROR(VLOOKUP(C1147,'LEAID Match'!$A$2:$B$214,2,FALSE),"")</f>
        <v>5008225</v>
      </c>
      <c r="F1147">
        <f t="shared" si="6"/>
        <v>8</v>
      </c>
    </row>
    <row r="1148" spans="1:6">
      <c r="A1148">
        <v>5008225</v>
      </c>
      <c r="B1148">
        <v>2018</v>
      </c>
      <c r="C1148" s="10" t="s">
        <v>224</v>
      </c>
      <c r="D1148" s="15">
        <v>448840</v>
      </c>
      <c r="E1148">
        <f>IFERROR(VLOOKUP(C1148,'LEAID Match'!$A$2:$B$214,2,FALSE),"")</f>
        <v>5008225</v>
      </c>
      <c r="F1148">
        <f t="shared" si="6"/>
        <v>8</v>
      </c>
    </row>
    <row r="1149" spans="1:6">
      <c r="A1149">
        <v>5008225</v>
      </c>
      <c r="B1149">
        <v>2019</v>
      </c>
      <c r="C1149" s="10" t="s">
        <v>224</v>
      </c>
      <c r="D1149" s="15">
        <v>469345</v>
      </c>
      <c r="E1149">
        <f>IFERROR(VLOOKUP(C1149,'LEAID Match'!$A$2:$B$214,2,FALSE),"")</f>
        <v>5008225</v>
      </c>
      <c r="F1149">
        <f t="shared" si="6"/>
        <v>8</v>
      </c>
    </row>
    <row r="1150" spans="1:6">
      <c r="A1150">
        <v>5008225</v>
      </c>
      <c r="B1150">
        <v>2020</v>
      </c>
      <c r="C1150" s="10" t="s">
        <v>224</v>
      </c>
      <c r="D1150" s="15">
        <v>458067</v>
      </c>
      <c r="E1150">
        <f>IFERROR(VLOOKUP(C1150,'LEAID Match'!$A$2:$B$214,2,FALSE),"")</f>
        <v>5008225</v>
      </c>
      <c r="F1150">
        <f t="shared" si="6"/>
        <v>8</v>
      </c>
    </row>
    <row r="1151" spans="1:6">
      <c r="A1151">
        <v>5008225</v>
      </c>
      <c r="B1151">
        <v>2021</v>
      </c>
      <c r="C1151" s="10" t="s">
        <v>224</v>
      </c>
      <c r="D1151" s="15">
        <v>434184</v>
      </c>
      <c r="E1151">
        <f>IFERROR(VLOOKUP(C1151,'LEAID Match'!$A$2:$B$214,2,FALSE),"")</f>
        <v>5008225</v>
      </c>
      <c r="F1151">
        <f t="shared" si="6"/>
        <v>8</v>
      </c>
    </row>
    <row r="1152" spans="1:6">
      <c r="A1152">
        <v>5008225</v>
      </c>
      <c r="B1152">
        <v>2022</v>
      </c>
      <c r="C1152" s="10" t="s">
        <v>224</v>
      </c>
      <c r="D1152" s="15">
        <v>1096731</v>
      </c>
      <c r="E1152">
        <f>IFERROR(VLOOKUP(C1152,'LEAID Match'!$A$2:$B$214,2,FALSE),"")</f>
        <v>5008225</v>
      </c>
      <c r="F1152">
        <f t="shared" si="6"/>
        <v>8</v>
      </c>
    </row>
    <row r="1153" spans="1:6">
      <c r="A1153">
        <v>5008224</v>
      </c>
      <c r="B1153">
        <v>2015</v>
      </c>
      <c r="C1153" s="10" t="s">
        <v>264</v>
      </c>
      <c r="D1153" s="15">
        <v>367544.06</v>
      </c>
      <c r="E1153">
        <f>IFERROR(VLOOKUP(C1153,'LEAID Match'!$A$2:$B$214,2,FALSE),"")</f>
        <v>5008224</v>
      </c>
      <c r="F1153">
        <f t="shared" si="6"/>
        <v>8</v>
      </c>
    </row>
    <row r="1154" spans="1:6">
      <c r="A1154">
        <v>5008224</v>
      </c>
      <c r="B1154">
        <v>2016</v>
      </c>
      <c r="C1154" s="10" t="s">
        <v>264</v>
      </c>
      <c r="D1154" s="15">
        <v>359047.49</v>
      </c>
      <c r="E1154">
        <f>IFERROR(VLOOKUP(C1154,'LEAID Match'!$A$2:$B$214,2,FALSE),"")</f>
        <v>5008224</v>
      </c>
      <c r="F1154">
        <f t="shared" ref="F1154:F1217" si="7">COUNTIF($A$705:$A$2272,A1154)</f>
        <v>8</v>
      </c>
    </row>
    <row r="1155" spans="1:6">
      <c r="A1155">
        <v>5008224</v>
      </c>
      <c r="B1155">
        <v>2017</v>
      </c>
      <c r="C1155" s="10" t="s">
        <v>264</v>
      </c>
      <c r="D1155" s="15">
        <v>383350</v>
      </c>
      <c r="E1155">
        <f>IFERROR(VLOOKUP(C1155,'LEAID Match'!$A$2:$B$214,2,FALSE),"")</f>
        <v>5008224</v>
      </c>
      <c r="F1155">
        <f t="shared" si="7"/>
        <v>8</v>
      </c>
    </row>
    <row r="1156" spans="1:6">
      <c r="A1156">
        <v>5008224</v>
      </c>
      <c r="B1156">
        <v>2018</v>
      </c>
      <c r="C1156" s="10" t="s">
        <v>264</v>
      </c>
      <c r="D1156" s="15">
        <v>542301</v>
      </c>
      <c r="E1156">
        <f>IFERROR(VLOOKUP(C1156,'LEAID Match'!$A$2:$B$214,2,FALSE),"")</f>
        <v>5008224</v>
      </c>
      <c r="F1156">
        <f t="shared" si="7"/>
        <v>8</v>
      </c>
    </row>
    <row r="1157" spans="1:6">
      <c r="A1157">
        <v>5008224</v>
      </c>
      <c r="B1157">
        <v>2019</v>
      </c>
      <c r="C1157" s="10" t="s">
        <v>264</v>
      </c>
      <c r="D1157" s="15">
        <v>541710</v>
      </c>
      <c r="E1157">
        <f>IFERROR(VLOOKUP(C1157,'LEAID Match'!$A$2:$B$214,2,FALSE),"")</f>
        <v>5008224</v>
      </c>
      <c r="F1157">
        <f t="shared" si="7"/>
        <v>8</v>
      </c>
    </row>
    <row r="1158" spans="1:6">
      <c r="A1158">
        <v>5008224</v>
      </c>
      <c r="B1158">
        <v>2020</v>
      </c>
      <c r="C1158" s="10" t="s">
        <v>264</v>
      </c>
      <c r="D1158" s="15">
        <v>468578</v>
      </c>
      <c r="E1158">
        <f>IFERROR(VLOOKUP(C1158,'LEAID Match'!$A$2:$B$214,2,FALSE),"")</f>
        <v>5008224</v>
      </c>
      <c r="F1158">
        <f t="shared" si="7"/>
        <v>8</v>
      </c>
    </row>
    <row r="1159" spans="1:6">
      <c r="A1159">
        <v>5008224</v>
      </c>
      <c r="B1159">
        <v>2021</v>
      </c>
      <c r="C1159" s="10" t="s">
        <v>264</v>
      </c>
      <c r="D1159" s="15">
        <v>470729</v>
      </c>
      <c r="E1159">
        <f>IFERROR(VLOOKUP(C1159,'LEAID Match'!$A$2:$B$214,2,FALSE),"")</f>
        <v>5008224</v>
      </c>
      <c r="F1159">
        <f t="shared" si="7"/>
        <v>8</v>
      </c>
    </row>
    <row r="1160" spans="1:6">
      <c r="A1160">
        <v>5008224</v>
      </c>
      <c r="B1160">
        <v>2022</v>
      </c>
      <c r="C1160" s="10" t="s">
        <v>264</v>
      </c>
      <c r="D1160" s="15">
        <v>1161473</v>
      </c>
      <c r="E1160">
        <f>IFERROR(VLOOKUP(C1160,'LEAID Match'!$A$2:$B$214,2,FALSE),"")</f>
        <v>5008224</v>
      </c>
      <c r="F1160">
        <f t="shared" si="7"/>
        <v>8</v>
      </c>
    </row>
    <row r="1161" spans="1:6">
      <c r="A1161">
        <v>5008160</v>
      </c>
      <c r="B1161">
        <v>2015</v>
      </c>
      <c r="C1161" s="10" t="s">
        <v>161</v>
      </c>
      <c r="D1161" s="15">
        <v>87033.279999999999</v>
      </c>
      <c r="E1161">
        <f>IFERROR(VLOOKUP(C1161,'LEAID Match'!$A$2:$B$214,2,FALSE),"")</f>
        <v>5008160</v>
      </c>
      <c r="F1161">
        <f t="shared" si="7"/>
        <v>8</v>
      </c>
    </row>
    <row r="1162" spans="1:6">
      <c r="A1162">
        <v>5008160</v>
      </c>
      <c r="B1162">
        <v>2016</v>
      </c>
      <c r="C1162" s="10" t="s">
        <v>161</v>
      </c>
      <c r="D1162" s="15">
        <v>89335.679999999993</v>
      </c>
      <c r="E1162">
        <f>IFERROR(VLOOKUP(C1162,'LEAID Match'!$A$2:$B$214,2,FALSE),"")</f>
        <v>5008160</v>
      </c>
      <c r="F1162">
        <f t="shared" si="7"/>
        <v>8</v>
      </c>
    </row>
    <row r="1163" spans="1:6">
      <c r="A1163">
        <v>5008160</v>
      </c>
      <c r="B1163">
        <v>2017</v>
      </c>
      <c r="C1163" s="10" t="s">
        <v>161</v>
      </c>
      <c r="D1163" s="15">
        <v>99695</v>
      </c>
      <c r="E1163">
        <f>IFERROR(VLOOKUP(C1163,'LEAID Match'!$A$2:$B$214,2,FALSE),"")</f>
        <v>5008160</v>
      </c>
      <c r="F1163">
        <f t="shared" si="7"/>
        <v>8</v>
      </c>
    </row>
    <row r="1164" spans="1:6">
      <c r="A1164">
        <v>5008160</v>
      </c>
      <c r="B1164">
        <v>2018</v>
      </c>
      <c r="C1164" s="10" t="s">
        <v>161</v>
      </c>
      <c r="D1164" s="15">
        <v>145363</v>
      </c>
      <c r="E1164">
        <f>IFERROR(VLOOKUP(C1164,'LEAID Match'!$A$2:$B$214,2,FALSE),"")</f>
        <v>5008160</v>
      </c>
      <c r="F1164">
        <f t="shared" si="7"/>
        <v>8</v>
      </c>
    </row>
    <row r="1165" spans="1:6">
      <c r="A1165">
        <v>5008160</v>
      </c>
      <c r="B1165">
        <v>2019</v>
      </c>
      <c r="C1165" s="10" t="s">
        <v>161</v>
      </c>
      <c r="D1165" s="15">
        <v>0</v>
      </c>
      <c r="E1165">
        <f>IFERROR(VLOOKUP(C1165,'LEAID Match'!$A$2:$B$214,2,FALSE),"")</f>
        <v>5008160</v>
      </c>
      <c r="F1165">
        <f t="shared" si="7"/>
        <v>8</v>
      </c>
    </row>
    <row r="1166" spans="1:6">
      <c r="A1166">
        <v>5008160</v>
      </c>
      <c r="B1166">
        <v>2020</v>
      </c>
      <c r="C1166" s="10" t="s">
        <v>161</v>
      </c>
      <c r="D1166" s="15">
        <v>0</v>
      </c>
      <c r="E1166">
        <f>IFERROR(VLOOKUP(C1166,'LEAID Match'!$A$2:$B$214,2,FALSE),"")</f>
        <v>5008160</v>
      </c>
      <c r="F1166">
        <f t="shared" si="7"/>
        <v>8</v>
      </c>
    </row>
    <row r="1167" spans="1:6">
      <c r="A1167">
        <v>5008160</v>
      </c>
      <c r="B1167">
        <v>2021</v>
      </c>
      <c r="C1167" s="10" t="s">
        <v>161</v>
      </c>
      <c r="D1167" s="15">
        <v>0</v>
      </c>
      <c r="E1167">
        <f>IFERROR(VLOOKUP(C1167,'LEAID Match'!$A$2:$B$214,2,FALSE),"")</f>
        <v>5008160</v>
      </c>
      <c r="F1167">
        <f t="shared" si="7"/>
        <v>8</v>
      </c>
    </row>
    <row r="1168" spans="1:6">
      <c r="A1168">
        <v>5008160</v>
      </c>
      <c r="B1168">
        <v>2022</v>
      </c>
      <c r="C1168" s="10" t="s">
        <v>161</v>
      </c>
      <c r="D1168" s="15">
        <v>0</v>
      </c>
      <c r="E1168">
        <f>IFERROR(VLOOKUP(C1168,'LEAID Match'!$A$2:$B$214,2,FALSE),"")</f>
        <v>5008160</v>
      </c>
      <c r="F1168">
        <f t="shared" si="7"/>
        <v>8</v>
      </c>
    </row>
    <row r="1169" spans="1:6">
      <c r="A1169">
        <v>5008130</v>
      </c>
      <c r="B1169">
        <v>2015</v>
      </c>
      <c r="C1169" s="10" t="s">
        <v>160</v>
      </c>
      <c r="D1169" s="15">
        <v>134849.60000000001</v>
      </c>
      <c r="E1169">
        <f>IFERROR(VLOOKUP(C1169,'LEAID Match'!$A$2:$B$214,2,FALSE),"")</f>
        <v>5008130</v>
      </c>
      <c r="F1169">
        <f t="shared" si="7"/>
        <v>8</v>
      </c>
    </row>
    <row r="1170" spans="1:6">
      <c r="A1170">
        <v>5008130</v>
      </c>
      <c r="B1170">
        <v>2016</v>
      </c>
      <c r="C1170" s="10" t="s">
        <v>160</v>
      </c>
      <c r="D1170" s="15">
        <v>128141.29</v>
      </c>
      <c r="E1170">
        <f>IFERROR(VLOOKUP(C1170,'LEAID Match'!$A$2:$B$214,2,FALSE),"")</f>
        <v>5008130</v>
      </c>
      <c r="F1170">
        <f t="shared" si="7"/>
        <v>8</v>
      </c>
    </row>
    <row r="1171" spans="1:6">
      <c r="A1171">
        <v>5008130</v>
      </c>
      <c r="B1171">
        <v>2017</v>
      </c>
      <c r="C1171" s="10" t="s">
        <v>160</v>
      </c>
      <c r="D1171" s="15">
        <v>116150</v>
      </c>
      <c r="E1171">
        <f>IFERROR(VLOOKUP(C1171,'LEAID Match'!$A$2:$B$214,2,FALSE),"")</f>
        <v>5008130</v>
      </c>
      <c r="F1171">
        <f t="shared" si="7"/>
        <v>8</v>
      </c>
    </row>
    <row r="1172" spans="1:6">
      <c r="A1172">
        <v>5008130</v>
      </c>
      <c r="B1172">
        <v>2018</v>
      </c>
      <c r="C1172" s="10" t="s">
        <v>160</v>
      </c>
      <c r="D1172" s="15">
        <v>164113</v>
      </c>
      <c r="E1172">
        <f>IFERROR(VLOOKUP(C1172,'LEAID Match'!$A$2:$B$214,2,FALSE),"")</f>
        <v>5008130</v>
      </c>
      <c r="F1172">
        <f t="shared" si="7"/>
        <v>8</v>
      </c>
    </row>
    <row r="1173" spans="1:6">
      <c r="A1173">
        <v>5008130</v>
      </c>
      <c r="B1173">
        <v>2019</v>
      </c>
      <c r="C1173" s="10" t="s">
        <v>160</v>
      </c>
      <c r="D1173" s="15">
        <v>162683</v>
      </c>
      <c r="E1173">
        <f>IFERROR(VLOOKUP(C1173,'LEAID Match'!$A$2:$B$214,2,FALSE),"")</f>
        <v>5008130</v>
      </c>
      <c r="F1173">
        <f t="shared" si="7"/>
        <v>8</v>
      </c>
    </row>
    <row r="1174" spans="1:6">
      <c r="A1174">
        <v>5008130</v>
      </c>
      <c r="B1174">
        <v>2020</v>
      </c>
      <c r="C1174" s="10" t="s">
        <v>160</v>
      </c>
      <c r="D1174" s="15">
        <v>183599</v>
      </c>
      <c r="E1174">
        <f>IFERROR(VLOOKUP(C1174,'LEAID Match'!$A$2:$B$214,2,FALSE),"")</f>
        <v>5008130</v>
      </c>
      <c r="F1174">
        <f t="shared" si="7"/>
        <v>8</v>
      </c>
    </row>
    <row r="1175" spans="1:6">
      <c r="A1175">
        <v>5008130</v>
      </c>
      <c r="B1175">
        <v>2021</v>
      </c>
      <c r="C1175" s="10" t="s">
        <v>160</v>
      </c>
      <c r="D1175" s="15">
        <v>177290</v>
      </c>
      <c r="E1175">
        <f>IFERROR(VLOOKUP(C1175,'LEAID Match'!$A$2:$B$214,2,FALSE),"")</f>
        <v>5008130</v>
      </c>
      <c r="F1175">
        <f t="shared" si="7"/>
        <v>8</v>
      </c>
    </row>
    <row r="1176" spans="1:6">
      <c r="A1176">
        <v>5008130</v>
      </c>
      <c r="B1176">
        <v>2022</v>
      </c>
      <c r="C1176" s="10" t="s">
        <v>160</v>
      </c>
      <c r="D1176" s="15">
        <v>469402</v>
      </c>
      <c r="E1176">
        <f>IFERROR(VLOOKUP(C1176,'LEAID Match'!$A$2:$B$214,2,FALSE),"")</f>
        <v>5008130</v>
      </c>
      <c r="F1176">
        <f t="shared" si="7"/>
        <v>8</v>
      </c>
    </row>
    <row r="1177" spans="1:6">
      <c r="A1177">
        <v>5008100</v>
      </c>
      <c r="B1177">
        <v>2015</v>
      </c>
      <c r="C1177" s="10" t="s">
        <v>159</v>
      </c>
      <c r="D1177" s="15">
        <v>53575.47</v>
      </c>
      <c r="E1177">
        <f>IFERROR(VLOOKUP(C1177,'LEAID Match'!$A$2:$B$214,2,FALSE),"")</f>
        <v>5008100</v>
      </c>
      <c r="F1177">
        <f t="shared" si="7"/>
        <v>8</v>
      </c>
    </row>
    <row r="1178" spans="1:6">
      <c r="A1178">
        <v>5008100</v>
      </c>
      <c r="B1178">
        <v>2016</v>
      </c>
      <c r="C1178" s="10" t="s">
        <v>159</v>
      </c>
      <c r="D1178" s="15">
        <v>48189.88</v>
      </c>
      <c r="E1178">
        <f>IFERROR(VLOOKUP(C1178,'LEAID Match'!$A$2:$B$214,2,FALSE),"")</f>
        <v>5008100</v>
      </c>
      <c r="F1178">
        <f t="shared" si="7"/>
        <v>8</v>
      </c>
    </row>
    <row r="1179" spans="1:6">
      <c r="A1179">
        <v>5008100</v>
      </c>
      <c r="B1179">
        <v>2017</v>
      </c>
      <c r="C1179" s="10" t="s">
        <v>159</v>
      </c>
      <c r="D1179" s="15">
        <v>53160</v>
      </c>
      <c r="E1179">
        <f>IFERROR(VLOOKUP(C1179,'LEAID Match'!$A$2:$B$214,2,FALSE),"")</f>
        <v>5008100</v>
      </c>
      <c r="F1179">
        <f t="shared" si="7"/>
        <v>8</v>
      </c>
    </row>
    <row r="1180" spans="1:6">
      <c r="A1180">
        <v>5008100</v>
      </c>
      <c r="B1180">
        <v>2018</v>
      </c>
      <c r="C1180" s="10" t="s">
        <v>159</v>
      </c>
      <c r="D1180" s="15">
        <v>68569</v>
      </c>
      <c r="E1180">
        <f>IFERROR(VLOOKUP(C1180,'LEAID Match'!$A$2:$B$214,2,FALSE),"")</f>
        <v>5008100</v>
      </c>
      <c r="F1180">
        <f t="shared" si="7"/>
        <v>8</v>
      </c>
    </row>
    <row r="1181" spans="1:6">
      <c r="A1181">
        <v>5008100</v>
      </c>
      <c r="B1181">
        <v>2019</v>
      </c>
      <c r="C1181" s="10" t="s">
        <v>159</v>
      </c>
      <c r="D1181" s="15">
        <v>66476</v>
      </c>
      <c r="E1181">
        <f>IFERROR(VLOOKUP(C1181,'LEAID Match'!$A$2:$B$214,2,FALSE),"")</f>
        <v>5008100</v>
      </c>
      <c r="F1181">
        <f t="shared" si="7"/>
        <v>8</v>
      </c>
    </row>
    <row r="1182" spans="1:6">
      <c r="A1182">
        <v>5008100</v>
      </c>
      <c r="B1182">
        <v>2020</v>
      </c>
      <c r="C1182" s="10" t="s">
        <v>159</v>
      </c>
      <c r="D1182" s="15">
        <v>0</v>
      </c>
      <c r="E1182">
        <f>IFERROR(VLOOKUP(C1182,'LEAID Match'!$A$2:$B$214,2,FALSE),"")</f>
        <v>5008100</v>
      </c>
      <c r="F1182">
        <f t="shared" si="7"/>
        <v>8</v>
      </c>
    </row>
    <row r="1183" spans="1:6">
      <c r="A1183">
        <v>5008100</v>
      </c>
      <c r="B1183">
        <v>2021</v>
      </c>
      <c r="C1183" s="10" t="s">
        <v>159</v>
      </c>
      <c r="D1183" s="15">
        <v>0</v>
      </c>
      <c r="E1183">
        <f>IFERROR(VLOOKUP(C1183,'LEAID Match'!$A$2:$B$214,2,FALSE),"")</f>
        <v>5008100</v>
      </c>
      <c r="F1183">
        <f t="shared" si="7"/>
        <v>8</v>
      </c>
    </row>
    <row r="1184" spans="1:6">
      <c r="A1184">
        <v>5008100</v>
      </c>
      <c r="B1184">
        <v>2022</v>
      </c>
      <c r="C1184" s="10" t="s">
        <v>159</v>
      </c>
      <c r="D1184" s="15">
        <v>0</v>
      </c>
      <c r="E1184">
        <f>IFERROR(VLOOKUP(C1184,'LEAID Match'!$A$2:$B$214,2,FALSE),"")</f>
        <v>5008100</v>
      </c>
      <c r="F1184">
        <f t="shared" si="7"/>
        <v>8</v>
      </c>
    </row>
    <row r="1185" spans="1:6">
      <c r="A1185">
        <v>5008010</v>
      </c>
      <c r="B1185">
        <v>2015</v>
      </c>
      <c r="C1185" s="10" t="s">
        <v>157</v>
      </c>
      <c r="D1185" s="15">
        <v>424733.41</v>
      </c>
      <c r="E1185">
        <f>IFERROR(VLOOKUP(C1185,'LEAID Match'!$A$2:$B$214,2,FALSE),"")</f>
        <v>5008010</v>
      </c>
      <c r="F1185">
        <f t="shared" si="7"/>
        <v>8</v>
      </c>
    </row>
    <row r="1186" spans="1:6">
      <c r="A1186">
        <v>5008010</v>
      </c>
      <c r="B1186">
        <v>2016</v>
      </c>
      <c r="C1186" s="10" t="s">
        <v>157</v>
      </c>
      <c r="D1186" s="15">
        <v>434263.38</v>
      </c>
      <c r="E1186">
        <f>IFERROR(VLOOKUP(C1186,'LEAID Match'!$A$2:$B$214,2,FALSE),"")</f>
        <v>5008010</v>
      </c>
      <c r="F1186">
        <f t="shared" si="7"/>
        <v>8</v>
      </c>
    </row>
    <row r="1187" spans="1:6">
      <c r="A1187">
        <v>5008010</v>
      </c>
      <c r="B1187">
        <v>2017</v>
      </c>
      <c r="C1187" s="10" t="s">
        <v>157</v>
      </c>
      <c r="D1187" s="15">
        <v>487446</v>
      </c>
      <c r="E1187">
        <f>IFERROR(VLOOKUP(C1187,'LEAID Match'!$A$2:$B$214,2,FALSE),"")</f>
        <v>5008010</v>
      </c>
      <c r="F1187">
        <f t="shared" si="7"/>
        <v>8</v>
      </c>
    </row>
    <row r="1188" spans="1:6">
      <c r="A1188">
        <v>5008010</v>
      </c>
      <c r="B1188">
        <v>2018</v>
      </c>
      <c r="C1188" s="10" t="s">
        <v>157</v>
      </c>
      <c r="D1188" s="15">
        <v>664130</v>
      </c>
      <c r="E1188">
        <f>IFERROR(VLOOKUP(C1188,'LEAID Match'!$A$2:$B$214,2,FALSE),"")</f>
        <v>5008010</v>
      </c>
      <c r="F1188">
        <f t="shared" si="7"/>
        <v>8</v>
      </c>
    </row>
    <row r="1189" spans="1:6">
      <c r="A1189">
        <v>5008010</v>
      </c>
      <c r="B1189">
        <v>2019</v>
      </c>
      <c r="C1189" s="10" t="s">
        <v>157</v>
      </c>
      <c r="D1189" s="15">
        <v>619168</v>
      </c>
      <c r="E1189">
        <f>IFERROR(VLOOKUP(C1189,'LEAID Match'!$A$2:$B$214,2,FALSE),"")</f>
        <v>5008010</v>
      </c>
      <c r="F1189">
        <f t="shared" si="7"/>
        <v>8</v>
      </c>
    </row>
    <row r="1190" spans="1:6">
      <c r="A1190">
        <v>5008010</v>
      </c>
      <c r="B1190">
        <v>2020</v>
      </c>
      <c r="C1190" s="10" t="s">
        <v>157</v>
      </c>
      <c r="D1190" s="15">
        <v>626953</v>
      </c>
      <c r="E1190">
        <f>IFERROR(VLOOKUP(C1190,'LEAID Match'!$A$2:$B$214,2,FALSE),"")</f>
        <v>5008010</v>
      </c>
      <c r="F1190">
        <f t="shared" si="7"/>
        <v>8</v>
      </c>
    </row>
    <row r="1191" spans="1:6">
      <c r="A1191">
        <v>5008010</v>
      </c>
      <c r="B1191">
        <v>2021</v>
      </c>
      <c r="C1191" s="10" t="s">
        <v>157</v>
      </c>
      <c r="D1191" s="15">
        <v>666031</v>
      </c>
      <c r="E1191">
        <f>IFERROR(VLOOKUP(C1191,'LEAID Match'!$A$2:$B$214,2,FALSE),"")</f>
        <v>5008010</v>
      </c>
      <c r="F1191">
        <f t="shared" si="7"/>
        <v>8</v>
      </c>
    </row>
    <row r="1192" spans="1:6">
      <c r="A1192">
        <v>5008010</v>
      </c>
      <c r="B1192">
        <v>2022</v>
      </c>
      <c r="C1192" s="10" t="s">
        <v>157</v>
      </c>
      <c r="D1192" s="15">
        <v>1608328</v>
      </c>
      <c r="E1192">
        <f>IFERROR(VLOOKUP(C1192,'LEAID Match'!$A$2:$B$214,2,FALSE),"")</f>
        <v>5008010</v>
      </c>
      <c r="F1192">
        <f t="shared" si="7"/>
        <v>8</v>
      </c>
    </row>
    <row r="1193" spans="1:6">
      <c r="A1193">
        <v>5007980</v>
      </c>
      <c r="B1193">
        <v>2015</v>
      </c>
      <c r="C1193" s="10" t="s">
        <v>156</v>
      </c>
      <c r="D1193" s="15">
        <v>319437.78000000003</v>
      </c>
      <c r="E1193">
        <f>IFERROR(VLOOKUP(C1193,'LEAID Match'!$A$2:$B$214,2,FALSE),"")</f>
        <v>5007980</v>
      </c>
      <c r="F1193">
        <f t="shared" si="7"/>
        <v>8</v>
      </c>
    </row>
    <row r="1194" spans="1:6">
      <c r="A1194">
        <v>5007980</v>
      </c>
      <c r="B1194">
        <v>2016</v>
      </c>
      <c r="C1194" s="10" t="s">
        <v>156</v>
      </c>
      <c r="D1194" s="15">
        <v>310456.86</v>
      </c>
      <c r="E1194">
        <f>IFERROR(VLOOKUP(C1194,'LEAID Match'!$A$2:$B$214,2,FALSE),"")</f>
        <v>5007980</v>
      </c>
      <c r="F1194">
        <f t="shared" si="7"/>
        <v>8</v>
      </c>
    </row>
    <row r="1195" spans="1:6">
      <c r="A1195">
        <v>5007980</v>
      </c>
      <c r="B1195">
        <v>2017</v>
      </c>
      <c r="C1195" s="10" t="s">
        <v>156</v>
      </c>
      <c r="D1195" s="15">
        <v>339386</v>
      </c>
      <c r="E1195">
        <f>IFERROR(VLOOKUP(C1195,'LEAID Match'!$A$2:$B$214,2,FALSE),"")</f>
        <v>5007980</v>
      </c>
      <c r="F1195">
        <f t="shared" si="7"/>
        <v>8</v>
      </c>
    </row>
    <row r="1196" spans="1:6">
      <c r="A1196">
        <v>5007980</v>
      </c>
      <c r="B1196">
        <v>2018</v>
      </c>
      <c r="C1196" s="10" t="s">
        <v>156</v>
      </c>
      <c r="D1196" s="15">
        <v>468111</v>
      </c>
      <c r="E1196">
        <f>IFERROR(VLOOKUP(C1196,'LEAID Match'!$A$2:$B$214,2,FALSE),"")</f>
        <v>5007980</v>
      </c>
      <c r="F1196">
        <f t="shared" si="7"/>
        <v>8</v>
      </c>
    </row>
    <row r="1197" spans="1:6">
      <c r="A1197">
        <v>5007980</v>
      </c>
      <c r="B1197">
        <v>2019</v>
      </c>
      <c r="C1197" s="10" t="s">
        <v>156</v>
      </c>
      <c r="D1197" s="15">
        <v>493981</v>
      </c>
      <c r="E1197">
        <f>IFERROR(VLOOKUP(C1197,'LEAID Match'!$A$2:$B$214,2,FALSE),"")</f>
        <v>5007980</v>
      </c>
      <c r="F1197">
        <f t="shared" si="7"/>
        <v>8</v>
      </c>
    </row>
    <row r="1198" spans="1:6">
      <c r="A1198">
        <v>5007980</v>
      </c>
      <c r="B1198">
        <v>2020</v>
      </c>
      <c r="C1198" s="10" t="s">
        <v>156</v>
      </c>
      <c r="D1198" s="15">
        <v>0</v>
      </c>
      <c r="E1198">
        <f>IFERROR(VLOOKUP(C1198,'LEAID Match'!$A$2:$B$214,2,FALSE),"")</f>
        <v>5007980</v>
      </c>
      <c r="F1198">
        <f t="shared" si="7"/>
        <v>8</v>
      </c>
    </row>
    <row r="1199" spans="1:6">
      <c r="A1199">
        <v>5007980</v>
      </c>
      <c r="B1199">
        <v>2021</v>
      </c>
      <c r="C1199" s="10" t="s">
        <v>156</v>
      </c>
      <c r="D1199" s="15">
        <v>0</v>
      </c>
      <c r="E1199">
        <f>IFERROR(VLOOKUP(C1199,'LEAID Match'!$A$2:$B$214,2,FALSE),"")</f>
        <v>5007980</v>
      </c>
      <c r="F1199">
        <f t="shared" si="7"/>
        <v>8</v>
      </c>
    </row>
    <row r="1200" spans="1:6">
      <c r="A1200">
        <v>5007980</v>
      </c>
      <c r="B1200">
        <v>2022</v>
      </c>
      <c r="C1200" s="10" t="s">
        <v>156</v>
      </c>
      <c r="D1200" s="15">
        <v>0</v>
      </c>
      <c r="E1200">
        <f>IFERROR(VLOOKUP(C1200,'LEAID Match'!$A$2:$B$214,2,FALSE),"")</f>
        <v>5007980</v>
      </c>
      <c r="F1200">
        <f t="shared" si="7"/>
        <v>8</v>
      </c>
    </row>
    <row r="1201" spans="1:6">
      <c r="A1201">
        <v>5007950</v>
      </c>
      <c r="B1201">
        <v>2015</v>
      </c>
      <c r="C1201" s="10" t="s">
        <v>155</v>
      </c>
      <c r="D1201" s="15">
        <v>51223.519999999997</v>
      </c>
      <c r="E1201">
        <f>IFERROR(VLOOKUP(C1201,'LEAID Match'!$A$2:$B$214,2,FALSE),"")</f>
        <v>5007950</v>
      </c>
      <c r="F1201">
        <f t="shared" si="7"/>
        <v>8</v>
      </c>
    </row>
    <row r="1202" spans="1:6">
      <c r="A1202">
        <v>5007950</v>
      </c>
      <c r="B1202">
        <v>2016</v>
      </c>
      <c r="C1202" s="10" t="s">
        <v>155</v>
      </c>
      <c r="D1202" s="15">
        <v>62259.14</v>
      </c>
      <c r="E1202">
        <f>IFERROR(VLOOKUP(C1202,'LEAID Match'!$A$2:$B$214,2,FALSE),"")</f>
        <v>5007950</v>
      </c>
      <c r="F1202">
        <f t="shared" si="7"/>
        <v>8</v>
      </c>
    </row>
    <row r="1203" spans="1:6">
      <c r="A1203">
        <v>5007950</v>
      </c>
      <c r="B1203">
        <v>2017</v>
      </c>
      <c r="C1203" s="10" t="s">
        <v>155</v>
      </c>
      <c r="D1203" s="15">
        <v>71415</v>
      </c>
      <c r="E1203">
        <f>IFERROR(VLOOKUP(C1203,'LEAID Match'!$A$2:$B$214,2,FALSE),"")</f>
        <v>5007950</v>
      </c>
      <c r="F1203">
        <f t="shared" si="7"/>
        <v>8</v>
      </c>
    </row>
    <row r="1204" spans="1:6">
      <c r="A1204">
        <v>5007950</v>
      </c>
      <c r="B1204">
        <v>2018</v>
      </c>
      <c r="C1204" s="10" t="s">
        <v>155</v>
      </c>
      <c r="D1204" s="15">
        <v>101967</v>
      </c>
      <c r="E1204">
        <f>IFERROR(VLOOKUP(C1204,'LEAID Match'!$A$2:$B$214,2,FALSE),"")</f>
        <v>5007950</v>
      </c>
      <c r="F1204">
        <f t="shared" si="7"/>
        <v>8</v>
      </c>
    </row>
    <row r="1205" spans="1:6">
      <c r="A1205">
        <v>5007950</v>
      </c>
      <c r="B1205">
        <v>2019</v>
      </c>
      <c r="C1205" s="10" t="s">
        <v>155</v>
      </c>
      <c r="D1205" s="15">
        <v>0</v>
      </c>
      <c r="E1205">
        <f>IFERROR(VLOOKUP(C1205,'LEAID Match'!$A$2:$B$214,2,FALSE),"")</f>
        <v>5007950</v>
      </c>
      <c r="F1205">
        <f t="shared" si="7"/>
        <v>8</v>
      </c>
    </row>
    <row r="1206" spans="1:6">
      <c r="A1206">
        <v>5007950</v>
      </c>
      <c r="B1206">
        <v>2020</v>
      </c>
      <c r="C1206" s="10" t="s">
        <v>155</v>
      </c>
      <c r="D1206" s="15">
        <v>0</v>
      </c>
      <c r="E1206">
        <f>IFERROR(VLOOKUP(C1206,'LEAID Match'!$A$2:$B$214,2,FALSE),"")</f>
        <v>5007950</v>
      </c>
      <c r="F1206">
        <f t="shared" si="7"/>
        <v>8</v>
      </c>
    </row>
    <row r="1207" spans="1:6">
      <c r="A1207">
        <v>5007950</v>
      </c>
      <c r="B1207">
        <v>2021</v>
      </c>
      <c r="C1207" s="10" t="s">
        <v>155</v>
      </c>
      <c r="D1207" s="15">
        <v>0</v>
      </c>
      <c r="E1207">
        <f>IFERROR(VLOOKUP(C1207,'LEAID Match'!$A$2:$B$214,2,FALSE),"")</f>
        <v>5007950</v>
      </c>
      <c r="F1207">
        <f t="shared" si="7"/>
        <v>8</v>
      </c>
    </row>
    <row r="1208" spans="1:6">
      <c r="A1208">
        <v>5007950</v>
      </c>
      <c r="B1208">
        <v>2022</v>
      </c>
      <c r="C1208" s="10" t="s">
        <v>155</v>
      </c>
      <c r="D1208" s="15">
        <v>0</v>
      </c>
      <c r="E1208">
        <f>IFERROR(VLOOKUP(C1208,'LEAID Match'!$A$2:$B$214,2,FALSE),"")</f>
        <v>5007950</v>
      </c>
      <c r="F1208">
        <f t="shared" si="7"/>
        <v>8</v>
      </c>
    </row>
    <row r="1209" spans="1:6">
      <c r="A1209">
        <v>5007920</v>
      </c>
      <c r="B1209">
        <v>2015</v>
      </c>
      <c r="C1209" s="10" t="s">
        <v>154</v>
      </c>
      <c r="D1209" s="15">
        <v>53495.86</v>
      </c>
      <c r="E1209">
        <f>IFERROR(VLOOKUP(C1209,'LEAID Match'!$A$2:$B$214,2,FALSE),"")</f>
        <v>5007920</v>
      </c>
      <c r="F1209">
        <f t="shared" si="7"/>
        <v>8</v>
      </c>
    </row>
    <row r="1210" spans="1:6">
      <c r="A1210">
        <v>5007920</v>
      </c>
      <c r="B1210">
        <v>2016</v>
      </c>
      <c r="C1210" s="10" t="s">
        <v>154</v>
      </c>
      <c r="D1210" s="15">
        <v>50672.87</v>
      </c>
      <c r="E1210">
        <f>IFERROR(VLOOKUP(C1210,'LEAID Match'!$A$2:$B$214,2,FALSE),"")</f>
        <v>5007920</v>
      </c>
      <c r="F1210">
        <f t="shared" si="7"/>
        <v>8</v>
      </c>
    </row>
    <row r="1211" spans="1:6">
      <c r="A1211">
        <v>5007920</v>
      </c>
      <c r="B1211">
        <v>2017</v>
      </c>
      <c r="C1211" s="10" t="s">
        <v>154</v>
      </c>
      <c r="D1211" s="15">
        <v>60916</v>
      </c>
      <c r="E1211">
        <f>IFERROR(VLOOKUP(C1211,'LEAID Match'!$A$2:$B$214,2,FALSE),"")</f>
        <v>5007920</v>
      </c>
      <c r="F1211">
        <f t="shared" si="7"/>
        <v>8</v>
      </c>
    </row>
    <row r="1212" spans="1:6">
      <c r="A1212">
        <v>5007920</v>
      </c>
      <c r="B1212">
        <v>2018</v>
      </c>
      <c r="C1212" s="10" t="s">
        <v>154</v>
      </c>
      <c r="D1212" s="15">
        <v>86294</v>
      </c>
      <c r="E1212">
        <f>IFERROR(VLOOKUP(C1212,'LEAID Match'!$A$2:$B$214,2,FALSE),"")</f>
        <v>5007920</v>
      </c>
      <c r="F1212">
        <f t="shared" si="7"/>
        <v>8</v>
      </c>
    </row>
    <row r="1213" spans="1:6">
      <c r="A1213">
        <v>5007920</v>
      </c>
      <c r="B1213">
        <v>2019</v>
      </c>
      <c r="C1213" s="10" t="s">
        <v>154</v>
      </c>
      <c r="D1213" s="15">
        <v>0</v>
      </c>
      <c r="E1213">
        <f>IFERROR(VLOOKUP(C1213,'LEAID Match'!$A$2:$B$214,2,FALSE),"")</f>
        <v>5007920</v>
      </c>
      <c r="F1213">
        <f t="shared" si="7"/>
        <v>8</v>
      </c>
    </row>
    <row r="1214" spans="1:6">
      <c r="A1214">
        <v>5007920</v>
      </c>
      <c r="B1214">
        <v>2020</v>
      </c>
      <c r="C1214" s="10" t="s">
        <v>154</v>
      </c>
      <c r="D1214" s="15">
        <v>0</v>
      </c>
      <c r="E1214">
        <f>IFERROR(VLOOKUP(C1214,'LEAID Match'!$A$2:$B$214,2,FALSE),"")</f>
        <v>5007920</v>
      </c>
      <c r="F1214">
        <f t="shared" si="7"/>
        <v>8</v>
      </c>
    </row>
    <row r="1215" spans="1:6">
      <c r="A1215">
        <v>5007920</v>
      </c>
      <c r="B1215">
        <v>2021</v>
      </c>
      <c r="C1215" s="10" t="s">
        <v>154</v>
      </c>
      <c r="D1215" s="15">
        <v>0</v>
      </c>
      <c r="E1215">
        <f>IFERROR(VLOOKUP(C1215,'LEAID Match'!$A$2:$B$214,2,FALSE),"")</f>
        <v>5007920</v>
      </c>
      <c r="F1215">
        <f t="shared" si="7"/>
        <v>8</v>
      </c>
    </row>
    <row r="1216" spans="1:6">
      <c r="A1216">
        <v>5007920</v>
      </c>
      <c r="B1216">
        <v>2022</v>
      </c>
      <c r="C1216" s="10" t="s">
        <v>154</v>
      </c>
      <c r="D1216" s="15">
        <v>0</v>
      </c>
      <c r="E1216">
        <f>IFERROR(VLOOKUP(C1216,'LEAID Match'!$A$2:$B$214,2,FALSE),"")</f>
        <v>5007920</v>
      </c>
      <c r="F1216">
        <f t="shared" si="7"/>
        <v>8</v>
      </c>
    </row>
    <row r="1217" spans="1:6">
      <c r="A1217">
        <v>5007830</v>
      </c>
      <c r="B1217">
        <v>2015</v>
      </c>
      <c r="C1217" s="10" t="s">
        <v>152</v>
      </c>
      <c r="D1217" s="15">
        <v>84209.13</v>
      </c>
      <c r="E1217">
        <f>IFERROR(VLOOKUP(C1217,'LEAID Match'!$A$2:$B$214,2,FALSE),"")</f>
        <v>5007830</v>
      </c>
      <c r="F1217">
        <f t="shared" si="7"/>
        <v>8</v>
      </c>
    </row>
    <row r="1218" spans="1:6">
      <c r="A1218">
        <v>5007830</v>
      </c>
      <c r="B1218">
        <v>2016</v>
      </c>
      <c r="C1218" s="10" t="s">
        <v>152</v>
      </c>
      <c r="D1218" s="15">
        <v>80663.789999999994</v>
      </c>
      <c r="E1218">
        <f>IFERROR(VLOOKUP(C1218,'LEAID Match'!$A$2:$B$214,2,FALSE),"")</f>
        <v>5007830</v>
      </c>
      <c r="F1218">
        <f t="shared" ref="F1218:F1281" si="8">COUNTIF($A$705:$A$2272,A1218)</f>
        <v>8</v>
      </c>
    </row>
    <row r="1219" spans="1:6">
      <c r="A1219">
        <v>5007830</v>
      </c>
      <c r="B1219">
        <v>2017</v>
      </c>
      <c r="C1219" s="10" t="s">
        <v>152</v>
      </c>
      <c r="D1219" s="15">
        <v>87705</v>
      </c>
      <c r="E1219">
        <f>IFERROR(VLOOKUP(C1219,'LEAID Match'!$A$2:$B$214,2,FALSE),"")</f>
        <v>5007830</v>
      </c>
      <c r="F1219">
        <f t="shared" si="8"/>
        <v>8</v>
      </c>
    </row>
    <row r="1220" spans="1:6">
      <c r="A1220">
        <v>5007830</v>
      </c>
      <c r="B1220">
        <v>2018</v>
      </c>
      <c r="C1220" s="10" t="s">
        <v>152</v>
      </c>
      <c r="D1220" s="15">
        <v>126981</v>
      </c>
      <c r="E1220">
        <f>IFERROR(VLOOKUP(C1220,'LEAID Match'!$A$2:$B$214,2,FALSE),"")</f>
        <v>5007830</v>
      </c>
      <c r="F1220">
        <f t="shared" si="8"/>
        <v>8</v>
      </c>
    </row>
    <row r="1221" spans="1:6">
      <c r="A1221">
        <v>5007830</v>
      </c>
      <c r="B1221">
        <v>2019</v>
      </c>
      <c r="C1221" s="10" t="s">
        <v>152</v>
      </c>
      <c r="D1221" s="15">
        <v>124074</v>
      </c>
      <c r="E1221">
        <f>IFERROR(VLOOKUP(C1221,'LEAID Match'!$A$2:$B$214,2,FALSE),"")</f>
        <v>5007830</v>
      </c>
      <c r="F1221">
        <f t="shared" si="8"/>
        <v>8</v>
      </c>
    </row>
    <row r="1222" spans="1:6">
      <c r="A1222">
        <v>5007830</v>
      </c>
      <c r="B1222">
        <v>2020</v>
      </c>
      <c r="C1222" s="10" t="s">
        <v>152</v>
      </c>
      <c r="D1222" s="15">
        <v>120905</v>
      </c>
      <c r="E1222">
        <f>IFERROR(VLOOKUP(C1222,'LEAID Match'!$A$2:$B$214,2,FALSE),"")</f>
        <v>5007830</v>
      </c>
      <c r="F1222">
        <f t="shared" si="8"/>
        <v>8</v>
      </c>
    </row>
    <row r="1223" spans="1:6">
      <c r="A1223">
        <v>5007830</v>
      </c>
      <c r="B1223">
        <v>2021</v>
      </c>
      <c r="C1223" s="10" t="s">
        <v>152</v>
      </c>
      <c r="D1223" s="15">
        <v>147298</v>
      </c>
      <c r="E1223">
        <f>IFERROR(VLOOKUP(C1223,'LEAID Match'!$A$2:$B$214,2,FALSE),"")</f>
        <v>5007830</v>
      </c>
      <c r="F1223">
        <f t="shared" si="8"/>
        <v>8</v>
      </c>
    </row>
    <row r="1224" spans="1:6">
      <c r="A1224">
        <v>5007830</v>
      </c>
      <c r="B1224">
        <v>2022</v>
      </c>
      <c r="C1224" s="10" t="s">
        <v>152</v>
      </c>
      <c r="D1224" s="15">
        <v>312563</v>
      </c>
      <c r="E1224">
        <f>IFERROR(VLOOKUP(C1224,'LEAID Match'!$A$2:$B$214,2,FALSE),"")</f>
        <v>5007830</v>
      </c>
      <c r="F1224">
        <f t="shared" si="8"/>
        <v>8</v>
      </c>
    </row>
    <row r="1225" spans="1:6">
      <c r="A1225">
        <v>5007800</v>
      </c>
      <c r="B1225">
        <v>2015</v>
      </c>
      <c r="C1225" s="10" t="s">
        <v>151</v>
      </c>
      <c r="D1225" s="15">
        <v>549124.02</v>
      </c>
      <c r="E1225">
        <f>IFERROR(VLOOKUP(C1225,'LEAID Match'!$A$2:$B$214,2,FALSE),"")</f>
        <v>5007800</v>
      </c>
      <c r="F1225">
        <f t="shared" si="8"/>
        <v>8</v>
      </c>
    </row>
    <row r="1226" spans="1:6">
      <c r="A1226">
        <v>5007800</v>
      </c>
      <c r="B1226">
        <v>2016</v>
      </c>
      <c r="C1226" s="10" t="s">
        <v>151</v>
      </c>
      <c r="D1226" s="15">
        <v>494157.01</v>
      </c>
      <c r="E1226">
        <f>IFERROR(VLOOKUP(C1226,'LEAID Match'!$A$2:$B$214,2,FALSE),"")</f>
        <v>5007800</v>
      </c>
      <c r="F1226">
        <f t="shared" si="8"/>
        <v>8</v>
      </c>
    </row>
    <row r="1227" spans="1:6">
      <c r="A1227">
        <v>5007800</v>
      </c>
      <c r="B1227">
        <v>2017</v>
      </c>
      <c r="C1227" s="10" t="s">
        <v>151</v>
      </c>
      <c r="D1227" s="15">
        <v>545644</v>
      </c>
      <c r="E1227">
        <f>IFERROR(VLOOKUP(C1227,'LEAID Match'!$A$2:$B$214,2,FALSE),"")</f>
        <v>5007800</v>
      </c>
      <c r="F1227">
        <f t="shared" si="8"/>
        <v>8</v>
      </c>
    </row>
    <row r="1228" spans="1:6">
      <c r="A1228">
        <v>5007800</v>
      </c>
      <c r="B1228">
        <v>2018</v>
      </c>
      <c r="C1228" s="10" t="s">
        <v>151</v>
      </c>
      <c r="D1228" s="15">
        <v>782150</v>
      </c>
      <c r="E1228">
        <f>IFERROR(VLOOKUP(C1228,'LEAID Match'!$A$2:$B$214,2,FALSE),"")</f>
        <v>5007800</v>
      </c>
      <c r="F1228">
        <f t="shared" si="8"/>
        <v>8</v>
      </c>
    </row>
    <row r="1229" spans="1:6">
      <c r="A1229">
        <v>5007800</v>
      </c>
      <c r="B1229">
        <v>2019</v>
      </c>
      <c r="C1229" s="10" t="s">
        <v>151</v>
      </c>
      <c r="D1229" s="15">
        <v>829622</v>
      </c>
      <c r="E1229">
        <f>IFERROR(VLOOKUP(C1229,'LEAID Match'!$A$2:$B$214,2,FALSE),"")</f>
        <v>5007800</v>
      </c>
      <c r="F1229">
        <f t="shared" si="8"/>
        <v>8</v>
      </c>
    </row>
    <row r="1230" spans="1:6">
      <c r="A1230">
        <v>5007800</v>
      </c>
      <c r="B1230">
        <v>2020</v>
      </c>
      <c r="C1230" s="10" t="s">
        <v>151</v>
      </c>
      <c r="D1230" s="15">
        <v>0</v>
      </c>
      <c r="E1230">
        <f>IFERROR(VLOOKUP(C1230,'LEAID Match'!$A$2:$B$214,2,FALSE),"")</f>
        <v>5007800</v>
      </c>
      <c r="F1230">
        <f t="shared" si="8"/>
        <v>8</v>
      </c>
    </row>
    <row r="1231" spans="1:6">
      <c r="A1231">
        <v>5007800</v>
      </c>
      <c r="B1231">
        <v>2021</v>
      </c>
      <c r="C1231" s="10" t="s">
        <v>151</v>
      </c>
      <c r="D1231" s="15">
        <v>0</v>
      </c>
      <c r="E1231">
        <f>IFERROR(VLOOKUP(C1231,'LEAID Match'!$A$2:$B$214,2,FALSE),"")</f>
        <v>5007800</v>
      </c>
      <c r="F1231">
        <f t="shared" si="8"/>
        <v>8</v>
      </c>
    </row>
    <row r="1232" spans="1:6">
      <c r="A1232">
        <v>5007800</v>
      </c>
      <c r="B1232">
        <v>2022</v>
      </c>
      <c r="C1232" s="10" t="s">
        <v>151</v>
      </c>
      <c r="D1232" s="15">
        <v>0</v>
      </c>
      <c r="E1232">
        <f>IFERROR(VLOOKUP(C1232,'LEAID Match'!$A$2:$B$214,2,FALSE),"")</f>
        <v>5007800</v>
      </c>
      <c r="F1232">
        <f t="shared" si="8"/>
        <v>8</v>
      </c>
    </row>
    <row r="1233" spans="1:6">
      <c r="A1233">
        <v>5007770</v>
      </c>
      <c r="B1233">
        <v>2015</v>
      </c>
      <c r="C1233" s="10" t="s">
        <v>269</v>
      </c>
      <c r="D1233" s="15">
        <v>43482.26</v>
      </c>
      <c r="E1233">
        <f>IFERROR(VLOOKUP(C1233,'LEAID Match'!$A$2:$B$214,2,FALSE),"")</f>
        <v>5007770</v>
      </c>
      <c r="F1233">
        <f t="shared" si="8"/>
        <v>8</v>
      </c>
    </row>
    <row r="1234" spans="1:6">
      <c r="A1234">
        <v>5007770</v>
      </c>
      <c r="B1234">
        <v>2016</v>
      </c>
      <c r="C1234" s="10" t="s">
        <v>269</v>
      </c>
      <c r="D1234" s="15">
        <v>36613.800000000003</v>
      </c>
      <c r="E1234">
        <f>IFERROR(VLOOKUP(C1234,'LEAID Match'!$A$2:$B$214,2,FALSE),"")</f>
        <v>5007770</v>
      </c>
      <c r="F1234">
        <f t="shared" si="8"/>
        <v>8</v>
      </c>
    </row>
    <row r="1235" spans="1:6">
      <c r="A1235">
        <v>5007770</v>
      </c>
      <c r="B1235">
        <v>2017</v>
      </c>
      <c r="C1235" s="10" t="s">
        <v>269</v>
      </c>
      <c r="D1235" s="15">
        <v>39064</v>
      </c>
      <c r="E1235">
        <f>IFERROR(VLOOKUP(C1235,'LEAID Match'!$A$2:$B$214,2,FALSE),"")</f>
        <v>5007770</v>
      </c>
      <c r="F1235">
        <f t="shared" si="8"/>
        <v>8</v>
      </c>
    </row>
    <row r="1236" spans="1:6">
      <c r="A1236">
        <v>5007770</v>
      </c>
      <c r="B1236">
        <v>2018</v>
      </c>
      <c r="C1236" s="10" t="s">
        <v>269</v>
      </c>
      <c r="D1236" s="15">
        <v>60713</v>
      </c>
      <c r="E1236">
        <f>IFERROR(VLOOKUP(C1236,'LEAID Match'!$A$2:$B$214,2,FALSE),"")</f>
        <v>5007770</v>
      </c>
      <c r="F1236">
        <f t="shared" si="8"/>
        <v>8</v>
      </c>
    </row>
    <row r="1237" spans="1:6">
      <c r="A1237">
        <v>5007770</v>
      </c>
      <c r="B1237">
        <v>2019</v>
      </c>
      <c r="C1237" s="10" t="s">
        <v>269</v>
      </c>
      <c r="D1237" s="15">
        <v>0</v>
      </c>
      <c r="E1237">
        <f>IFERROR(VLOOKUP(C1237,'LEAID Match'!$A$2:$B$214,2,FALSE),"")</f>
        <v>5007770</v>
      </c>
      <c r="F1237">
        <f t="shared" si="8"/>
        <v>8</v>
      </c>
    </row>
    <row r="1238" spans="1:6">
      <c r="A1238">
        <v>5007770</v>
      </c>
      <c r="B1238">
        <v>2020</v>
      </c>
      <c r="C1238" s="10" t="s">
        <v>269</v>
      </c>
      <c r="D1238" s="15">
        <v>0</v>
      </c>
      <c r="E1238">
        <f>IFERROR(VLOOKUP(C1238,'LEAID Match'!$A$2:$B$214,2,FALSE),"")</f>
        <v>5007770</v>
      </c>
      <c r="F1238">
        <f t="shared" si="8"/>
        <v>8</v>
      </c>
    </row>
    <row r="1239" spans="1:6">
      <c r="A1239">
        <v>5007770</v>
      </c>
      <c r="B1239">
        <v>2021</v>
      </c>
      <c r="C1239" s="10" t="s">
        <v>269</v>
      </c>
      <c r="D1239" s="15">
        <v>0</v>
      </c>
      <c r="E1239">
        <f>IFERROR(VLOOKUP(C1239,'LEAID Match'!$A$2:$B$214,2,FALSE),"")</f>
        <v>5007770</v>
      </c>
      <c r="F1239">
        <f t="shared" si="8"/>
        <v>8</v>
      </c>
    </row>
    <row r="1240" spans="1:6">
      <c r="A1240">
        <v>5007770</v>
      </c>
      <c r="B1240">
        <v>2022</v>
      </c>
      <c r="C1240" s="10" t="s">
        <v>269</v>
      </c>
      <c r="D1240" s="15">
        <v>0</v>
      </c>
      <c r="E1240">
        <f>IFERROR(VLOOKUP(C1240,'LEAID Match'!$A$2:$B$214,2,FALSE),"")</f>
        <v>5007770</v>
      </c>
      <c r="F1240">
        <f t="shared" si="8"/>
        <v>8</v>
      </c>
    </row>
    <row r="1241" spans="1:6">
      <c r="A1241">
        <v>5007740</v>
      </c>
      <c r="B1241">
        <v>2015</v>
      </c>
      <c r="C1241" s="10" t="s">
        <v>150</v>
      </c>
      <c r="D1241" s="15">
        <v>148133.79</v>
      </c>
      <c r="E1241">
        <f>IFERROR(VLOOKUP(C1241,'LEAID Match'!$A$2:$B$214,2,FALSE),"")</f>
        <v>5007740</v>
      </c>
      <c r="F1241">
        <f t="shared" si="8"/>
        <v>8</v>
      </c>
    </row>
    <row r="1242" spans="1:6">
      <c r="A1242">
        <v>5007740</v>
      </c>
      <c r="B1242">
        <v>2016</v>
      </c>
      <c r="C1242" s="10" t="s">
        <v>150</v>
      </c>
      <c r="D1242" s="15">
        <v>111376.63</v>
      </c>
      <c r="E1242">
        <f>IFERROR(VLOOKUP(C1242,'LEAID Match'!$A$2:$B$214,2,FALSE),"")</f>
        <v>5007740</v>
      </c>
      <c r="F1242">
        <f t="shared" si="8"/>
        <v>8</v>
      </c>
    </row>
    <row r="1243" spans="1:6">
      <c r="A1243">
        <v>5007740</v>
      </c>
      <c r="B1243">
        <v>2017</v>
      </c>
      <c r="C1243" s="10" t="s">
        <v>150</v>
      </c>
      <c r="D1243" s="15">
        <v>129506</v>
      </c>
      <c r="E1243">
        <f>IFERROR(VLOOKUP(C1243,'LEAID Match'!$A$2:$B$214,2,FALSE),"")</f>
        <v>5007740</v>
      </c>
      <c r="F1243">
        <f t="shared" si="8"/>
        <v>8</v>
      </c>
    </row>
    <row r="1244" spans="1:6">
      <c r="A1244">
        <v>5007740</v>
      </c>
      <c r="B1244">
        <v>2018</v>
      </c>
      <c r="C1244" s="10" t="s">
        <v>150</v>
      </c>
      <c r="D1244" s="15">
        <v>170110</v>
      </c>
      <c r="E1244">
        <f>IFERROR(VLOOKUP(C1244,'LEAID Match'!$A$2:$B$214,2,FALSE),"")</f>
        <v>5007740</v>
      </c>
      <c r="F1244">
        <f t="shared" si="8"/>
        <v>8</v>
      </c>
    </row>
    <row r="1245" spans="1:6">
      <c r="A1245">
        <v>5007740</v>
      </c>
      <c r="B1245">
        <v>2019</v>
      </c>
      <c r="C1245" s="10" t="s">
        <v>150</v>
      </c>
      <c r="D1245" s="15">
        <v>0</v>
      </c>
      <c r="E1245">
        <f>IFERROR(VLOOKUP(C1245,'LEAID Match'!$A$2:$B$214,2,FALSE),"")</f>
        <v>5007740</v>
      </c>
      <c r="F1245">
        <f t="shared" si="8"/>
        <v>8</v>
      </c>
    </row>
    <row r="1246" spans="1:6">
      <c r="A1246">
        <v>5007740</v>
      </c>
      <c r="B1246">
        <v>2020</v>
      </c>
      <c r="C1246" s="10" t="s">
        <v>150</v>
      </c>
      <c r="D1246" s="15">
        <v>0</v>
      </c>
      <c r="E1246">
        <f>IFERROR(VLOOKUP(C1246,'LEAID Match'!$A$2:$B$214,2,FALSE),"")</f>
        <v>5007740</v>
      </c>
      <c r="F1246">
        <f t="shared" si="8"/>
        <v>8</v>
      </c>
    </row>
    <row r="1247" spans="1:6">
      <c r="A1247">
        <v>5007740</v>
      </c>
      <c r="B1247">
        <v>2021</v>
      </c>
      <c r="C1247" s="10" t="s">
        <v>150</v>
      </c>
      <c r="D1247" s="15">
        <v>0</v>
      </c>
      <c r="E1247">
        <f>IFERROR(VLOOKUP(C1247,'LEAID Match'!$A$2:$B$214,2,FALSE),"")</f>
        <v>5007740</v>
      </c>
      <c r="F1247">
        <f t="shared" si="8"/>
        <v>8</v>
      </c>
    </row>
    <row r="1248" spans="1:6">
      <c r="A1248">
        <v>5007740</v>
      </c>
      <c r="B1248">
        <v>2022</v>
      </c>
      <c r="C1248" s="10" t="s">
        <v>150</v>
      </c>
      <c r="D1248" s="15">
        <v>0</v>
      </c>
      <c r="E1248">
        <f>IFERROR(VLOOKUP(C1248,'LEAID Match'!$A$2:$B$214,2,FALSE),"")</f>
        <v>5007740</v>
      </c>
      <c r="F1248">
        <f t="shared" si="8"/>
        <v>8</v>
      </c>
    </row>
    <row r="1249" spans="1:6">
      <c r="A1249">
        <v>5007680</v>
      </c>
      <c r="B1249">
        <v>2015</v>
      </c>
      <c r="C1249" s="10" t="s">
        <v>149</v>
      </c>
      <c r="D1249" s="15">
        <v>54290.69</v>
      </c>
      <c r="E1249">
        <f>IFERROR(VLOOKUP(C1249,'LEAID Match'!$A$2:$B$214,2,FALSE),"")</f>
        <v>5007680</v>
      </c>
      <c r="F1249">
        <f t="shared" si="8"/>
        <v>8</v>
      </c>
    </row>
    <row r="1250" spans="1:6">
      <c r="A1250">
        <v>5007680</v>
      </c>
      <c r="B1250">
        <v>2016</v>
      </c>
      <c r="C1250" s="10" t="s">
        <v>149</v>
      </c>
      <c r="D1250" s="15">
        <v>40908.400000000001</v>
      </c>
      <c r="E1250">
        <f>IFERROR(VLOOKUP(C1250,'LEAID Match'!$A$2:$B$214,2,FALSE),"")</f>
        <v>5007680</v>
      </c>
      <c r="F1250">
        <f t="shared" si="8"/>
        <v>8</v>
      </c>
    </row>
    <row r="1251" spans="1:6">
      <c r="A1251">
        <v>5007680</v>
      </c>
      <c r="B1251">
        <v>2017</v>
      </c>
      <c r="C1251" s="10" t="s">
        <v>149</v>
      </c>
      <c r="D1251" s="15">
        <v>42823</v>
      </c>
      <c r="E1251">
        <f>IFERROR(VLOOKUP(C1251,'LEAID Match'!$A$2:$B$214,2,FALSE),"")</f>
        <v>5007680</v>
      </c>
      <c r="F1251">
        <f t="shared" si="8"/>
        <v>8</v>
      </c>
    </row>
    <row r="1252" spans="1:6">
      <c r="A1252">
        <v>5007680</v>
      </c>
      <c r="B1252">
        <v>2018</v>
      </c>
      <c r="C1252" s="10" t="s">
        <v>149</v>
      </c>
      <c r="D1252" s="15">
        <v>67413</v>
      </c>
      <c r="E1252">
        <f>IFERROR(VLOOKUP(C1252,'LEAID Match'!$A$2:$B$214,2,FALSE),"")</f>
        <v>5007680</v>
      </c>
      <c r="F1252">
        <f t="shared" si="8"/>
        <v>8</v>
      </c>
    </row>
    <row r="1253" spans="1:6">
      <c r="A1253">
        <v>5007680</v>
      </c>
      <c r="B1253">
        <v>2019</v>
      </c>
      <c r="C1253" s="10" t="s">
        <v>149</v>
      </c>
      <c r="D1253" s="15">
        <v>80043</v>
      </c>
      <c r="E1253">
        <f>IFERROR(VLOOKUP(C1253,'LEAID Match'!$A$2:$B$214,2,FALSE),"")</f>
        <v>5007680</v>
      </c>
      <c r="F1253">
        <f t="shared" si="8"/>
        <v>8</v>
      </c>
    </row>
    <row r="1254" spans="1:6">
      <c r="A1254">
        <v>5007680</v>
      </c>
      <c r="B1254">
        <v>2020</v>
      </c>
      <c r="C1254" s="10" t="s">
        <v>149</v>
      </c>
      <c r="D1254" s="15">
        <v>78767</v>
      </c>
      <c r="E1254">
        <f>IFERROR(VLOOKUP(C1254,'LEAID Match'!$A$2:$B$214,2,FALSE),"")</f>
        <v>5007680</v>
      </c>
      <c r="F1254">
        <f t="shared" si="8"/>
        <v>8</v>
      </c>
    </row>
    <row r="1255" spans="1:6">
      <c r="A1255">
        <v>5007680</v>
      </c>
      <c r="B1255">
        <v>2021</v>
      </c>
      <c r="C1255" s="10" t="s">
        <v>149</v>
      </c>
      <c r="D1255" s="15">
        <v>65412</v>
      </c>
      <c r="E1255">
        <f>IFERROR(VLOOKUP(C1255,'LEAID Match'!$A$2:$B$214,2,FALSE),"")</f>
        <v>5007680</v>
      </c>
      <c r="F1255">
        <f t="shared" si="8"/>
        <v>8</v>
      </c>
    </row>
    <row r="1256" spans="1:6">
      <c r="A1256">
        <v>5007680</v>
      </c>
      <c r="B1256">
        <v>2022</v>
      </c>
      <c r="C1256" s="10" t="s">
        <v>149</v>
      </c>
      <c r="D1256" s="15">
        <v>166185</v>
      </c>
      <c r="E1256">
        <f>IFERROR(VLOOKUP(C1256,'LEAID Match'!$A$2:$B$214,2,FALSE),"")</f>
        <v>5007680</v>
      </c>
      <c r="F1256">
        <f t="shared" si="8"/>
        <v>8</v>
      </c>
    </row>
    <row r="1257" spans="1:6">
      <c r="A1257">
        <v>5007650</v>
      </c>
      <c r="B1257">
        <v>2015</v>
      </c>
      <c r="C1257" s="10" t="s">
        <v>137</v>
      </c>
      <c r="D1257" s="15">
        <v>1172598.6200000001</v>
      </c>
      <c r="E1257">
        <f>IFERROR(VLOOKUP(C1257,'LEAID Match'!$A$2:$B$214,2,FALSE),"")</f>
        <v>5007650</v>
      </c>
      <c r="F1257">
        <f t="shared" si="8"/>
        <v>8</v>
      </c>
    </row>
    <row r="1258" spans="1:6">
      <c r="A1258">
        <v>5007650</v>
      </c>
      <c r="B1258">
        <v>2016</v>
      </c>
      <c r="C1258" s="10" t="s">
        <v>137</v>
      </c>
      <c r="D1258" s="15">
        <v>1178713.3199999998</v>
      </c>
      <c r="E1258">
        <f>IFERROR(VLOOKUP(C1258,'LEAID Match'!$A$2:$B$214,2,FALSE),"")</f>
        <v>5007650</v>
      </c>
      <c r="F1258">
        <f t="shared" si="8"/>
        <v>8</v>
      </c>
    </row>
    <row r="1259" spans="1:6">
      <c r="A1259">
        <v>5007650</v>
      </c>
      <c r="B1259">
        <v>2017</v>
      </c>
      <c r="C1259" s="10" t="s">
        <v>137</v>
      </c>
      <c r="D1259" s="15">
        <v>1236631</v>
      </c>
      <c r="E1259">
        <f>IFERROR(VLOOKUP(C1259,'LEAID Match'!$A$2:$B$214,2,FALSE),"")</f>
        <v>5007650</v>
      </c>
      <c r="F1259">
        <f t="shared" si="8"/>
        <v>8</v>
      </c>
    </row>
    <row r="1260" spans="1:6">
      <c r="A1260">
        <v>5007650</v>
      </c>
      <c r="B1260">
        <v>2018</v>
      </c>
      <c r="C1260" s="10" t="s">
        <v>137</v>
      </c>
      <c r="D1260" s="15">
        <v>1734349</v>
      </c>
      <c r="E1260">
        <f>IFERROR(VLOOKUP(C1260,'LEAID Match'!$A$2:$B$214,2,FALSE),"")</f>
        <v>5007650</v>
      </c>
      <c r="F1260">
        <f t="shared" si="8"/>
        <v>8</v>
      </c>
    </row>
    <row r="1261" spans="1:6">
      <c r="A1261">
        <v>5007650</v>
      </c>
      <c r="B1261">
        <v>2019</v>
      </c>
      <c r="C1261" s="10" t="s">
        <v>137</v>
      </c>
      <c r="D1261" s="15">
        <v>1779473</v>
      </c>
      <c r="E1261">
        <f>IFERROR(VLOOKUP(C1261,'LEAID Match'!$A$2:$B$214,2,FALSE),"")</f>
        <v>5007650</v>
      </c>
      <c r="F1261">
        <f t="shared" si="8"/>
        <v>8</v>
      </c>
    </row>
    <row r="1262" spans="1:6">
      <c r="A1262">
        <v>5007650</v>
      </c>
      <c r="B1262">
        <v>2020</v>
      </c>
      <c r="C1262" s="10" t="s">
        <v>137</v>
      </c>
      <c r="D1262" s="15">
        <v>1908984</v>
      </c>
      <c r="E1262">
        <f>IFERROR(VLOOKUP(C1262,'LEAID Match'!$A$2:$B$214,2,FALSE),"")</f>
        <v>5007650</v>
      </c>
      <c r="F1262">
        <f t="shared" si="8"/>
        <v>8</v>
      </c>
    </row>
    <row r="1263" spans="1:6">
      <c r="A1263">
        <v>5007650</v>
      </c>
      <c r="B1263">
        <v>2021</v>
      </c>
      <c r="C1263" s="10" t="s">
        <v>137</v>
      </c>
      <c r="D1263" s="15">
        <v>1914502</v>
      </c>
      <c r="E1263">
        <f>IFERROR(VLOOKUP(C1263,'LEAID Match'!$A$2:$B$214,2,FALSE),"")</f>
        <v>5007650</v>
      </c>
      <c r="F1263">
        <f t="shared" si="8"/>
        <v>8</v>
      </c>
    </row>
    <row r="1264" spans="1:6">
      <c r="A1264">
        <v>5007650</v>
      </c>
      <c r="B1264">
        <v>2022</v>
      </c>
      <c r="C1264" s="10" t="s">
        <v>137</v>
      </c>
      <c r="D1264" s="15">
        <v>4608799</v>
      </c>
      <c r="E1264">
        <f>IFERROR(VLOOKUP(C1264,'LEAID Match'!$A$2:$B$214,2,FALSE),"")</f>
        <v>5007650</v>
      </c>
      <c r="F1264">
        <f t="shared" si="8"/>
        <v>8</v>
      </c>
    </row>
    <row r="1265" spans="1:6">
      <c r="A1265">
        <v>5007530</v>
      </c>
      <c r="B1265">
        <v>2015</v>
      </c>
      <c r="C1265" s="10" t="s">
        <v>148</v>
      </c>
      <c r="D1265" s="15">
        <v>1111461.5</v>
      </c>
      <c r="E1265">
        <f>IFERROR(VLOOKUP(C1265,'LEAID Match'!$A$2:$B$214,2,FALSE),"")</f>
        <v>5007530</v>
      </c>
      <c r="F1265">
        <f t="shared" si="8"/>
        <v>8</v>
      </c>
    </row>
    <row r="1266" spans="1:6">
      <c r="A1266">
        <v>5007530</v>
      </c>
      <c r="B1266">
        <v>2016</v>
      </c>
      <c r="C1266" s="10" t="s">
        <v>148</v>
      </c>
      <c r="D1266" s="15">
        <v>1091916.75</v>
      </c>
      <c r="E1266">
        <f>IFERROR(VLOOKUP(C1266,'LEAID Match'!$A$2:$B$214,2,FALSE),"")</f>
        <v>5007530</v>
      </c>
      <c r="F1266">
        <f t="shared" si="8"/>
        <v>8</v>
      </c>
    </row>
    <row r="1267" spans="1:6">
      <c r="A1267">
        <v>5007530</v>
      </c>
      <c r="B1267">
        <v>2017</v>
      </c>
      <c r="C1267" s="10" t="s">
        <v>148</v>
      </c>
      <c r="D1267" s="15">
        <v>1097494</v>
      </c>
      <c r="E1267">
        <f>IFERROR(VLOOKUP(C1267,'LEAID Match'!$A$2:$B$214,2,FALSE),"")</f>
        <v>5007530</v>
      </c>
      <c r="F1267">
        <f t="shared" si="8"/>
        <v>8</v>
      </c>
    </row>
    <row r="1268" spans="1:6">
      <c r="A1268">
        <v>5007530</v>
      </c>
      <c r="B1268">
        <v>2018</v>
      </c>
      <c r="C1268" s="10" t="s">
        <v>148</v>
      </c>
      <c r="D1268" s="15">
        <v>1571040</v>
      </c>
      <c r="E1268">
        <f>IFERROR(VLOOKUP(C1268,'LEAID Match'!$A$2:$B$214,2,FALSE),"")</f>
        <v>5007530</v>
      </c>
      <c r="F1268">
        <f t="shared" si="8"/>
        <v>8</v>
      </c>
    </row>
    <row r="1269" spans="1:6">
      <c r="A1269">
        <v>5007530</v>
      </c>
      <c r="B1269">
        <v>2019</v>
      </c>
      <c r="C1269" s="10" t="s">
        <v>148</v>
      </c>
      <c r="D1269" s="15">
        <v>1612820</v>
      </c>
      <c r="E1269">
        <f>IFERROR(VLOOKUP(C1269,'LEAID Match'!$A$2:$B$214,2,FALSE),"")</f>
        <v>5007530</v>
      </c>
      <c r="F1269">
        <f t="shared" si="8"/>
        <v>8</v>
      </c>
    </row>
    <row r="1270" spans="1:6">
      <c r="A1270">
        <v>5007530</v>
      </c>
      <c r="B1270">
        <v>2020</v>
      </c>
      <c r="C1270" s="10" t="s">
        <v>148</v>
      </c>
      <c r="D1270" s="15">
        <v>1678015</v>
      </c>
      <c r="E1270">
        <f>IFERROR(VLOOKUP(C1270,'LEAID Match'!$A$2:$B$214,2,FALSE),"")</f>
        <v>5007530</v>
      </c>
      <c r="F1270">
        <f t="shared" si="8"/>
        <v>8</v>
      </c>
    </row>
    <row r="1271" spans="1:6">
      <c r="A1271">
        <v>5007530</v>
      </c>
      <c r="B1271">
        <v>2021</v>
      </c>
      <c r="C1271" s="10" t="s">
        <v>148</v>
      </c>
      <c r="D1271" s="15">
        <v>1765677</v>
      </c>
      <c r="E1271">
        <f>IFERROR(VLOOKUP(C1271,'LEAID Match'!$A$2:$B$214,2,FALSE),"")</f>
        <v>5007530</v>
      </c>
      <c r="F1271">
        <f t="shared" si="8"/>
        <v>8</v>
      </c>
    </row>
    <row r="1272" spans="1:6">
      <c r="A1272">
        <v>5007530</v>
      </c>
      <c r="B1272">
        <v>2022</v>
      </c>
      <c r="C1272" s="10" t="s">
        <v>148</v>
      </c>
      <c r="D1272" s="15">
        <v>4432378</v>
      </c>
      <c r="E1272">
        <f>IFERROR(VLOOKUP(C1272,'LEAID Match'!$A$2:$B$214,2,FALSE),"")</f>
        <v>5007530</v>
      </c>
      <c r="F1272">
        <f t="shared" si="8"/>
        <v>8</v>
      </c>
    </row>
    <row r="1273" spans="1:6">
      <c r="A1273">
        <v>5007500</v>
      </c>
      <c r="B1273">
        <v>2015</v>
      </c>
      <c r="C1273" s="10" t="s">
        <v>147</v>
      </c>
      <c r="D1273" s="15">
        <v>92669.67</v>
      </c>
      <c r="E1273">
        <f>IFERROR(VLOOKUP(C1273,'LEAID Match'!$A$2:$B$214,2,FALSE),"")</f>
        <v>5007500</v>
      </c>
      <c r="F1273">
        <f t="shared" si="8"/>
        <v>8</v>
      </c>
    </row>
    <row r="1274" spans="1:6">
      <c r="A1274">
        <v>5007500</v>
      </c>
      <c r="B1274">
        <v>2016</v>
      </c>
      <c r="C1274" s="10" t="s">
        <v>147</v>
      </c>
      <c r="D1274" s="15">
        <v>101076.1</v>
      </c>
      <c r="E1274">
        <f>IFERROR(VLOOKUP(C1274,'LEAID Match'!$A$2:$B$214,2,FALSE),"")</f>
        <v>5007500</v>
      </c>
      <c r="F1274">
        <f t="shared" si="8"/>
        <v>8</v>
      </c>
    </row>
    <row r="1275" spans="1:6">
      <c r="A1275">
        <v>5007500</v>
      </c>
      <c r="B1275">
        <v>2017</v>
      </c>
      <c r="C1275" s="10" t="s">
        <v>147</v>
      </c>
      <c r="D1275" s="15">
        <v>91060</v>
      </c>
      <c r="E1275">
        <f>IFERROR(VLOOKUP(C1275,'LEAID Match'!$A$2:$B$214,2,FALSE),"")</f>
        <v>5007500</v>
      </c>
      <c r="F1275">
        <f t="shared" si="8"/>
        <v>8</v>
      </c>
    </row>
    <row r="1276" spans="1:6">
      <c r="A1276">
        <v>5007500</v>
      </c>
      <c r="B1276">
        <v>2018</v>
      </c>
      <c r="C1276" s="10" t="s">
        <v>147</v>
      </c>
      <c r="D1276" s="15">
        <v>136828</v>
      </c>
      <c r="E1276">
        <f>IFERROR(VLOOKUP(C1276,'LEAID Match'!$A$2:$B$214,2,FALSE),"")</f>
        <v>5007500</v>
      </c>
      <c r="F1276">
        <f t="shared" si="8"/>
        <v>8</v>
      </c>
    </row>
    <row r="1277" spans="1:6">
      <c r="A1277">
        <v>5007500</v>
      </c>
      <c r="B1277">
        <v>2019</v>
      </c>
      <c r="C1277" s="10" t="s">
        <v>147</v>
      </c>
      <c r="D1277" s="15">
        <v>137327</v>
      </c>
      <c r="E1277">
        <f>IFERROR(VLOOKUP(C1277,'LEAID Match'!$A$2:$B$214,2,FALSE),"")</f>
        <v>5007500</v>
      </c>
      <c r="F1277">
        <f t="shared" si="8"/>
        <v>8</v>
      </c>
    </row>
    <row r="1278" spans="1:6">
      <c r="A1278">
        <v>5007500</v>
      </c>
      <c r="B1278">
        <v>2020</v>
      </c>
      <c r="C1278" s="10" t="s">
        <v>147</v>
      </c>
      <c r="D1278" s="15">
        <v>150663</v>
      </c>
      <c r="E1278">
        <f>IFERROR(VLOOKUP(C1278,'LEAID Match'!$A$2:$B$214,2,FALSE),"")</f>
        <v>5007500</v>
      </c>
      <c r="F1278">
        <f t="shared" si="8"/>
        <v>8</v>
      </c>
    </row>
    <row r="1279" spans="1:6">
      <c r="A1279">
        <v>5007500</v>
      </c>
      <c r="B1279">
        <v>2021</v>
      </c>
      <c r="C1279" s="10" t="s">
        <v>147</v>
      </c>
      <c r="D1279" s="15">
        <v>163998</v>
      </c>
      <c r="E1279">
        <f>IFERROR(VLOOKUP(C1279,'LEAID Match'!$A$2:$B$214,2,FALSE),"")</f>
        <v>5007500</v>
      </c>
      <c r="F1279">
        <f t="shared" si="8"/>
        <v>8</v>
      </c>
    </row>
    <row r="1280" spans="1:6">
      <c r="A1280">
        <v>5007500</v>
      </c>
      <c r="B1280">
        <v>2022</v>
      </c>
      <c r="C1280" s="10" t="s">
        <v>147</v>
      </c>
      <c r="D1280" s="15">
        <v>445347</v>
      </c>
      <c r="E1280">
        <f>IFERROR(VLOOKUP(C1280,'LEAID Match'!$A$2:$B$214,2,FALSE),"")</f>
        <v>5007500</v>
      </c>
      <c r="F1280">
        <f t="shared" si="8"/>
        <v>8</v>
      </c>
    </row>
    <row r="1281" spans="1:6">
      <c r="A1281">
        <v>5007470</v>
      </c>
      <c r="B1281">
        <v>2015</v>
      </c>
      <c r="C1281" s="10" t="s">
        <v>146</v>
      </c>
      <c r="D1281" s="15">
        <v>2338966.5499999998</v>
      </c>
      <c r="E1281">
        <f>IFERROR(VLOOKUP(C1281,'LEAID Match'!$A$2:$B$214,2,FALSE),"")</f>
        <v>5007470</v>
      </c>
      <c r="F1281">
        <f t="shared" si="8"/>
        <v>8</v>
      </c>
    </row>
    <row r="1282" spans="1:6">
      <c r="A1282">
        <v>5007470</v>
      </c>
      <c r="B1282">
        <v>2016</v>
      </c>
      <c r="C1282" s="10" t="s">
        <v>146</v>
      </c>
      <c r="D1282" s="15">
        <v>2302060.62</v>
      </c>
      <c r="E1282">
        <f>IFERROR(VLOOKUP(C1282,'LEAID Match'!$A$2:$B$214,2,FALSE),"")</f>
        <v>5007470</v>
      </c>
      <c r="F1282">
        <f t="shared" ref="F1282:F1345" si="9">COUNTIF($A$705:$A$2272,A1282)</f>
        <v>8</v>
      </c>
    </row>
    <row r="1283" spans="1:6">
      <c r="A1283">
        <v>5007470</v>
      </c>
      <c r="B1283">
        <v>2017</v>
      </c>
      <c r="C1283" s="10" t="s">
        <v>146</v>
      </c>
      <c r="D1283" s="15">
        <v>2523470</v>
      </c>
      <c r="E1283">
        <f>IFERROR(VLOOKUP(C1283,'LEAID Match'!$A$2:$B$214,2,FALSE),"")</f>
        <v>5007470</v>
      </c>
      <c r="F1283">
        <f t="shared" si="9"/>
        <v>8</v>
      </c>
    </row>
    <row r="1284" spans="1:6">
      <c r="A1284">
        <v>5007470</v>
      </c>
      <c r="B1284">
        <v>2018</v>
      </c>
      <c r="C1284" s="10" t="s">
        <v>146</v>
      </c>
      <c r="D1284" s="15">
        <v>3536310</v>
      </c>
      <c r="E1284">
        <f>IFERROR(VLOOKUP(C1284,'LEAID Match'!$A$2:$B$214,2,FALSE),"")</f>
        <v>5007470</v>
      </c>
      <c r="F1284">
        <f t="shared" si="9"/>
        <v>8</v>
      </c>
    </row>
    <row r="1285" spans="1:6">
      <c r="A1285">
        <v>5007470</v>
      </c>
      <c r="B1285">
        <v>2019</v>
      </c>
      <c r="C1285" s="10" t="s">
        <v>146</v>
      </c>
      <c r="D1285" s="15">
        <v>3709587</v>
      </c>
      <c r="E1285">
        <f>IFERROR(VLOOKUP(C1285,'LEAID Match'!$A$2:$B$214,2,FALSE),"")</f>
        <v>5007470</v>
      </c>
      <c r="F1285">
        <f t="shared" si="9"/>
        <v>8</v>
      </c>
    </row>
    <row r="1286" spans="1:6">
      <c r="A1286">
        <v>5007470</v>
      </c>
      <c r="B1286">
        <v>2020</v>
      </c>
      <c r="C1286" s="10" t="s">
        <v>146</v>
      </c>
      <c r="D1286" s="15">
        <v>3950480</v>
      </c>
      <c r="E1286">
        <f>IFERROR(VLOOKUP(C1286,'LEAID Match'!$A$2:$B$214,2,FALSE),"")</f>
        <v>5007470</v>
      </c>
      <c r="F1286">
        <f t="shared" si="9"/>
        <v>8</v>
      </c>
    </row>
    <row r="1287" spans="1:6">
      <c r="A1287">
        <v>5007470</v>
      </c>
      <c r="B1287">
        <v>2021</v>
      </c>
      <c r="C1287" s="10" t="s">
        <v>146</v>
      </c>
      <c r="D1287" s="15">
        <v>4075292</v>
      </c>
      <c r="E1287">
        <f>IFERROR(VLOOKUP(C1287,'LEAID Match'!$A$2:$B$214,2,FALSE),"")</f>
        <v>5007470</v>
      </c>
      <c r="F1287">
        <f t="shared" si="9"/>
        <v>8</v>
      </c>
    </row>
    <row r="1288" spans="1:6">
      <c r="A1288">
        <v>5007470</v>
      </c>
      <c r="B1288">
        <v>2022</v>
      </c>
      <c r="C1288" s="10" t="s">
        <v>146</v>
      </c>
      <c r="D1288" s="15">
        <v>10226053</v>
      </c>
      <c r="E1288">
        <f>IFERROR(VLOOKUP(C1288,'LEAID Match'!$A$2:$B$214,2,FALSE),"")</f>
        <v>5007470</v>
      </c>
      <c r="F1288">
        <f t="shared" si="9"/>
        <v>8</v>
      </c>
    </row>
    <row r="1289" spans="1:6">
      <c r="A1289">
        <v>5007380</v>
      </c>
      <c r="B1289">
        <v>2015</v>
      </c>
      <c r="C1289" s="10" t="s">
        <v>143</v>
      </c>
      <c r="D1289" s="15">
        <v>49996.89</v>
      </c>
      <c r="E1289">
        <f>IFERROR(VLOOKUP(C1289,'LEAID Match'!$A$2:$B$214,2,FALSE),"")</f>
        <v>5007380</v>
      </c>
      <c r="F1289">
        <f t="shared" si="9"/>
        <v>8</v>
      </c>
    </row>
    <row r="1290" spans="1:6">
      <c r="A1290">
        <v>5007380</v>
      </c>
      <c r="B1290">
        <v>2016</v>
      </c>
      <c r="C1290" s="10" t="s">
        <v>143</v>
      </c>
      <c r="D1290" s="15">
        <v>73693.7</v>
      </c>
      <c r="E1290">
        <f>IFERROR(VLOOKUP(C1290,'LEAID Match'!$A$2:$B$214,2,FALSE),"")</f>
        <v>5007380</v>
      </c>
      <c r="F1290">
        <f t="shared" si="9"/>
        <v>8</v>
      </c>
    </row>
    <row r="1291" spans="1:6">
      <c r="A1291">
        <v>5007380</v>
      </c>
      <c r="B1291">
        <v>2017</v>
      </c>
      <c r="C1291" s="10" t="s">
        <v>143</v>
      </c>
      <c r="D1291" s="15">
        <v>82485</v>
      </c>
      <c r="E1291">
        <f>IFERROR(VLOOKUP(C1291,'LEAID Match'!$A$2:$B$214,2,FALSE),"")</f>
        <v>5007380</v>
      </c>
      <c r="F1291">
        <f t="shared" si="9"/>
        <v>8</v>
      </c>
    </row>
    <row r="1292" spans="1:6">
      <c r="A1292">
        <v>5007380</v>
      </c>
      <c r="B1292">
        <v>2018</v>
      </c>
      <c r="C1292" s="10" t="s">
        <v>143</v>
      </c>
      <c r="D1292" s="15">
        <v>111932</v>
      </c>
      <c r="E1292">
        <f>IFERROR(VLOOKUP(C1292,'LEAID Match'!$A$2:$B$214,2,FALSE),"")</f>
        <v>5007380</v>
      </c>
      <c r="F1292">
        <f t="shared" si="9"/>
        <v>8</v>
      </c>
    </row>
    <row r="1293" spans="1:6">
      <c r="A1293">
        <v>5007380</v>
      </c>
      <c r="B1293">
        <v>2019</v>
      </c>
      <c r="C1293" s="10" t="s">
        <v>143</v>
      </c>
      <c r="D1293" s="15">
        <v>0</v>
      </c>
      <c r="E1293">
        <f>IFERROR(VLOOKUP(C1293,'LEAID Match'!$A$2:$B$214,2,FALSE),"")</f>
        <v>5007380</v>
      </c>
      <c r="F1293">
        <f t="shared" si="9"/>
        <v>8</v>
      </c>
    </row>
    <row r="1294" spans="1:6">
      <c r="A1294">
        <v>5007380</v>
      </c>
      <c r="B1294">
        <v>2020</v>
      </c>
      <c r="C1294" s="10" t="s">
        <v>143</v>
      </c>
      <c r="D1294" s="15">
        <v>0</v>
      </c>
      <c r="E1294">
        <f>IFERROR(VLOOKUP(C1294,'LEAID Match'!$A$2:$B$214,2,FALSE),"")</f>
        <v>5007380</v>
      </c>
      <c r="F1294">
        <f t="shared" si="9"/>
        <v>8</v>
      </c>
    </row>
    <row r="1295" spans="1:6">
      <c r="A1295">
        <v>5007380</v>
      </c>
      <c r="B1295">
        <v>2021</v>
      </c>
      <c r="C1295" s="10" t="s">
        <v>143</v>
      </c>
      <c r="D1295" s="15">
        <v>0</v>
      </c>
      <c r="E1295">
        <f>IFERROR(VLOOKUP(C1295,'LEAID Match'!$A$2:$B$214,2,FALSE),"")</f>
        <v>5007380</v>
      </c>
      <c r="F1295">
        <f t="shared" si="9"/>
        <v>8</v>
      </c>
    </row>
    <row r="1296" spans="1:6">
      <c r="A1296">
        <v>5007380</v>
      </c>
      <c r="B1296">
        <v>2022</v>
      </c>
      <c r="C1296" s="10" t="s">
        <v>143</v>
      </c>
      <c r="D1296" s="15">
        <v>0</v>
      </c>
      <c r="E1296">
        <f>IFERROR(VLOOKUP(C1296,'LEAID Match'!$A$2:$B$214,2,FALSE),"")</f>
        <v>5007380</v>
      </c>
      <c r="F1296">
        <f t="shared" si="9"/>
        <v>8</v>
      </c>
    </row>
    <row r="1297" spans="1:6">
      <c r="A1297">
        <v>5007350</v>
      </c>
      <c r="B1297">
        <v>2015</v>
      </c>
      <c r="C1297" s="10" t="s">
        <v>142</v>
      </c>
      <c r="D1297" s="15">
        <v>181657.09</v>
      </c>
      <c r="E1297">
        <f>IFERROR(VLOOKUP(C1297,'LEAID Match'!$A$2:$B$214,2,FALSE),"")</f>
        <v>5007350</v>
      </c>
      <c r="F1297">
        <f t="shared" si="9"/>
        <v>8</v>
      </c>
    </row>
    <row r="1298" spans="1:6">
      <c r="A1298">
        <v>5007350</v>
      </c>
      <c r="B1298">
        <v>2016</v>
      </c>
      <c r="C1298" s="10" t="s">
        <v>142</v>
      </c>
      <c r="D1298" s="15">
        <v>169050.77</v>
      </c>
      <c r="E1298">
        <f>IFERROR(VLOOKUP(C1298,'LEAID Match'!$A$2:$B$214,2,FALSE),"")</f>
        <v>5007350</v>
      </c>
      <c r="F1298">
        <f t="shared" si="9"/>
        <v>8</v>
      </c>
    </row>
    <row r="1299" spans="1:6">
      <c r="A1299">
        <v>5007350</v>
      </c>
      <c r="B1299">
        <v>2017</v>
      </c>
      <c r="C1299" s="10" t="s">
        <v>142</v>
      </c>
      <c r="D1299" s="15">
        <v>179395</v>
      </c>
      <c r="E1299">
        <f>IFERROR(VLOOKUP(C1299,'LEAID Match'!$A$2:$B$214,2,FALSE),"")</f>
        <v>5007350</v>
      </c>
      <c r="F1299">
        <f t="shared" si="9"/>
        <v>8</v>
      </c>
    </row>
    <row r="1300" spans="1:6">
      <c r="A1300">
        <v>5007350</v>
      </c>
      <c r="B1300">
        <v>2018</v>
      </c>
      <c r="C1300" s="10" t="s">
        <v>142</v>
      </c>
      <c r="D1300" s="15">
        <v>242970</v>
      </c>
      <c r="E1300">
        <f>IFERROR(VLOOKUP(C1300,'LEAID Match'!$A$2:$B$214,2,FALSE),"")</f>
        <v>5007350</v>
      </c>
      <c r="F1300">
        <f t="shared" si="9"/>
        <v>8</v>
      </c>
    </row>
    <row r="1301" spans="1:6">
      <c r="A1301">
        <v>5007350</v>
      </c>
      <c r="B1301">
        <v>2019</v>
      </c>
      <c r="C1301" s="10" t="s">
        <v>142</v>
      </c>
      <c r="D1301" s="15">
        <v>251345</v>
      </c>
      <c r="E1301">
        <f>IFERROR(VLOOKUP(C1301,'LEAID Match'!$A$2:$B$214,2,FALSE),"")</f>
        <v>5007350</v>
      </c>
      <c r="F1301">
        <f t="shared" si="9"/>
        <v>8</v>
      </c>
    </row>
    <row r="1302" spans="1:6">
      <c r="A1302">
        <v>5007350</v>
      </c>
      <c r="B1302">
        <v>2020</v>
      </c>
      <c r="C1302" s="10" t="s">
        <v>142</v>
      </c>
      <c r="D1302" s="15">
        <v>0</v>
      </c>
      <c r="E1302">
        <f>IFERROR(VLOOKUP(C1302,'LEAID Match'!$A$2:$B$214,2,FALSE),"")</f>
        <v>5007350</v>
      </c>
      <c r="F1302">
        <f t="shared" si="9"/>
        <v>8</v>
      </c>
    </row>
    <row r="1303" spans="1:6">
      <c r="A1303">
        <v>5007350</v>
      </c>
      <c r="B1303">
        <v>2021</v>
      </c>
      <c r="C1303" s="10" t="s">
        <v>142</v>
      </c>
      <c r="D1303" s="15">
        <v>0</v>
      </c>
      <c r="E1303">
        <f>IFERROR(VLOOKUP(C1303,'LEAID Match'!$A$2:$B$214,2,FALSE),"")</f>
        <v>5007350</v>
      </c>
      <c r="F1303">
        <f t="shared" si="9"/>
        <v>8</v>
      </c>
    </row>
    <row r="1304" spans="1:6">
      <c r="A1304">
        <v>5007350</v>
      </c>
      <c r="B1304">
        <v>2022</v>
      </c>
      <c r="C1304" s="10" t="s">
        <v>142</v>
      </c>
      <c r="D1304" s="15">
        <v>0</v>
      </c>
      <c r="E1304">
        <f>IFERROR(VLOOKUP(C1304,'LEAID Match'!$A$2:$B$214,2,FALSE),"")</f>
        <v>5007350</v>
      </c>
      <c r="F1304">
        <f t="shared" si="9"/>
        <v>8</v>
      </c>
    </row>
    <row r="1305" spans="1:6">
      <c r="A1305">
        <v>5007260</v>
      </c>
      <c r="B1305">
        <v>2015</v>
      </c>
      <c r="C1305" s="10" t="s">
        <v>140</v>
      </c>
      <c r="D1305" s="15">
        <v>92443.25</v>
      </c>
      <c r="E1305">
        <f>IFERROR(VLOOKUP(C1305,'LEAID Match'!$A$2:$B$214,2,FALSE),"")</f>
        <v>5007260</v>
      </c>
      <c r="F1305">
        <f t="shared" si="9"/>
        <v>8</v>
      </c>
    </row>
    <row r="1306" spans="1:6">
      <c r="A1306">
        <v>5007260</v>
      </c>
      <c r="B1306">
        <v>2016</v>
      </c>
      <c r="C1306" s="10" t="s">
        <v>140</v>
      </c>
      <c r="D1306" s="15">
        <v>92868.38</v>
      </c>
      <c r="E1306">
        <f>IFERROR(VLOOKUP(C1306,'LEAID Match'!$A$2:$B$214,2,FALSE),"")</f>
        <v>5007260</v>
      </c>
      <c r="F1306">
        <f t="shared" si="9"/>
        <v>8</v>
      </c>
    </row>
    <row r="1307" spans="1:6">
      <c r="A1307">
        <v>5007260</v>
      </c>
      <c r="B1307">
        <v>2017</v>
      </c>
      <c r="C1307" s="10" t="s">
        <v>140</v>
      </c>
      <c r="D1307" s="15">
        <v>96409</v>
      </c>
      <c r="E1307">
        <f>IFERROR(VLOOKUP(C1307,'LEAID Match'!$A$2:$B$214,2,FALSE),"")</f>
        <v>5007260</v>
      </c>
      <c r="F1307">
        <f t="shared" si="9"/>
        <v>8</v>
      </c>
    </row>
    <row r="1308" spans="1:6">
      <c r="A1308">
        <v>5007260</v>
      </c>
      <c r="B1308">
        <v>2018</v>
      </c>
      <c r="C1308" s="10" t="s">
        <v>140</v>
      </c>
      <c r="D1308" s="15">
        <v>132023</v>
      </c>
      <c r="E1308">
        <f>IFERROR(VLOOKUP(C1308,'LEAID Match'!$A$2:$B$214,2,FALSE),"")</f>
        <v>5007260</v>
      </c>
      <c r="F1308">
        <f t="shared" si="9"/>
        <v>8</v>
      </c>
    </row>
    <row r="1309" spans="1:6">
      <c r="A1309">
        <v>5007260</v>
      </c>
      <c r="B1309">
        <v>2019</v>
      </c>
      <c r="C1309" s="10" t="s">
        <v>140</v>
      </c>
      <c r="D1309" s="15">
        <v>138305</v>
      </c>
      <c r="E1309">
        <f>IFERROR(VLOOKUP(C1309,'LEAID Match'!$A$2:$B$214,2,FALSE),"")</f>
        <v>5007260</v>
      </c>
      <c r="F1309">
        <f t="shared" si="9"/>
        <v>8</v>
      </c>
    </row>
    <row r="1310" spans="1:6">
      <c r="A1310">
        <v>5007260</v>
      </c>
      <c r="B1310">
        <v>2020</v>
      </c>
      <c r="C1310" s="10" t="s">
        <v>140</v>
      </c>
      <c r="D1310" s="15">
        <v>133794</v>
      </c>
      <c r="E1310">
        <f>IFERROR(VLOOKUP(C1310,'LEAID Match'!$A$2:$B$214,2,FALSE),"")</f>
        <v>5007260</v>
      </c>
      <c r="F1310">
        <f t="shared" si="9"/>
        <v>8</v>
      </c>
    </row>
    <row r="1311" spans="1:6">
      <c r="A1311">
        <v>5007260</v>
      </c>
      <c r="B1311">
        <v>2021</v>
      </c>
      <c r="C1311" s="10" t="s">
        <v>140</v>
      </c>
      <c r="D1311" s="15">
        <v>143332</v>
      </c>
      <c r="E1311">
        <f>IFERROR(VLOOKUP(C1311,'LEAID Match'!$A$2:$B$214,2,FALSE),"")</f>
        <v>5007260</v>
      </c>
      <c r="F1311">
        <f t="shared" si="9"/>
        <v>8</v>
      </c>
    </row>
    <row r="1312" spans="1:6">
      <c r="A1312">
        <v>5007260</v>
      </c>
      <c r="B1312">
        <v>2022</v>
      </c>
      <c r="C1312" s="10" t="s">
        <v>140</v>
      </c>
      <c r="D1312" s="15">
        <v>360936</v>
      </c>
      <c r="E1312">
        <f>IFERROR(VLOOKUP(C1312,'LEAID Match'!$A$2:$B$214,2,FALSE),"")</f>
        <v>5007260</v>
      </c>
      <c r="F1312">
        <f t="shared" si="9"/>
        <v>8</v>
      </c>
    </row>
    <row r="1313" spans="1:6">
      <c r="A1313">
        <v>5007230</v>
      </c>
      <c r="B1313">
        <v>2015</v>
      </c>
      <c r="C1313" s="10" t="s">
        <v>139</v>
      </c>
      <c r="D1313" s="15">
        <v>117729.56</v>
      </c>
      <c r="E1313">
        <f>IFERROR(VLOOKUP(C1313,'LEAID Match'!$A$2:$B$214,2,FALSE),"")</f>
        <v>5007230</v>
      </c>
      <c r="F1313">
        <f t="shared" si="9"/>
        <v>8</v>
      </c>
    </row>
    <row r="1314" spans="1:6">
      <c r="A1314">
        <v>5007230</v>
      </c>
      <c r="B1314">
        <v>2016</v>
      </c>
      <c r="C1314" s="10" t="s">
        <v>139</v>
      </c>
      <c r="D1314" s="15">
        <v>121017.87</v>
      </c>
      <c r="E1314">
        <f>IFERROR(VLOOKUP(C1314,'LEAID Match'!$A$2:$B$214,2,FALSE),"")</f>
        <v>5007230</v>
      </c>
      <c r="F1314">
        <f t="shared" si="9"/>
        <v>8</v>
      </c>
    </row>
    <row r="1315" spans="1:6">
      <c r="A1315">
        <v>5007230</v>
      </c>
      <c r="B1315">
        <v>2017</v>
      </c>
      <c r="C1315" s="10" t="s">
        <v>139</v>
      </c>
      <c r="D1315" s="15">
        <v>140087</v>
      </c>
      <c r="E1315">
        <f>IFERROR(VLOOKUP(C1315,'LEAID Match'!$A$2:$B$214,2,FALSE),"")</f>
        <v>5007230</v>
      </c>
      <c r="F1315">
        <f t="shared" si="9"/>
        <v>8</v>
      </c>
    </row>
    <row r="1316" spans="1:6">
      <c r="A1316">
        <v>5007230</v>
      </c>
      <c r="B1316">
        <v>2018</v>
      </c>
      <c r="C1316" s="10" t="s">
        <v>139</v>
      </c>
      <c r="D1316" s="15">
        <v>200085</v>
      </c>
      <c r="E1316">
        <f>IFERROR(VLOOKUP(C1316,'LEAID Match'!$A$2:$B$214,2,FALSE),"")</f>
        <v>5007230</v>
      </c>
      <c r="F1316">
        <f t="shared" si="9"/>
        <v>8</v>
      </c>
    </row>
    <row r="1317" spans="1:6">
      <c r="A1317">
        <v>5007230</v>
      </c>
      <c r="B1317">
        <v>2019</v>
      </c>
      <c r="C1317" s="10" t="s">
        <v>139</v>
      </c>
      <c r="D1317" s="15">
        <v>204874</v>
      </c>
      <c r="E1317">
        <f>IFERROR(VLOOKUP(C1317,'LEAID Match'!$A$2:$B$214,2,FALSE),"")</f>
        <v>5007230</v>
      </c>
      <c r="F1317">
        <f t="shared" si="9"/>
        <v>8</v>
      </c>
    </row>
    <row r="1318" spans="1:6">
      <c r="A1318">
        <v>5007230</v>
      </c>
      <c r="B1318">
        <v>2020</v>
      </c>
      <c r="C1318" s="10" t="s">
        <v>139</v>
      </c>
      <c r="D1318" s="15">
        <v>0</v>
      </c>
      <c r="E1318">
        <f>IFERROR(VLOOKUP(C1318,'LEAID Match'!$A$2:$B$214,2,FALSE),"")</f>
        <v>5007230</v>
      </c>
      <c r="F1318">
        <f t="shared" si="9"/>
        <v>8</v>
      </c>
    </row>
    <row r="1319" spans="1:6">
      <c r="A1319">
        <v>5007230</v>
      </c>
      <c r="B1319">
        <v>2021</v>
      </c>
      <c r="C1319" s="10" t="s">
        <v>139</v>
      </c>
      <c r="D1319" s="15">
        <v>0</v>
      </c>
      <c r="E1319">
        <f>IFERROR(VLOOKUP(C1319,'LEAID Match'!$A$2:$B$214,2,FALSE),"")</f>
        <v>5007230</v>
      </c>
      <c r="F1319">
        <f t="shared" si="9"/>
        <v>8</v>
      </c>
    </row>
    <row r="1320" spans="1:6">
      <c r="A1320">
        <v>5007230</v>
      </c>
      <c r="B1320">
        <v>2022</v>
      </c>
      <c r="C1320" s="10" t="s">
        <v>139</v>
      </c>
      <c r="D1320" s="15">
        <v>0</v>
      </c>
      <c r="E1320">
        <f>IFERROR(VLOOKUP(C1320,'LEAID Match'!$A$2:$B$214,2,FALSE),"")</f>
        <v>5007230</v>
      </c>
      <c r="F1320">
        <f t="shared" si="9"/>
        <v>8</v>
      </c>
    </row>
    <row r="1321" spans="1:6">
      <c r="A1321">
        <v>5007080</v>
      </c>
      <c r="B1321">
        <v>2015</v>
      </c>
      <c r="C1321" s="10" t="s">
        <v>134</v>
      </c>
      <c r="D1321" s="15">
        <v>273002.48</v>
      </c>
      <c r="E1321">
        <f>IFERROR(VLOOKUP(C1321,'LEAID Match'!$A$2:$B$214,2,FALSE),"")</f>
        <v>5007080</v>
      </c>
      <c r="F1321">
        <f t="shared" si="9"/>
        <v>8</v>
      </c>
    </row>
    <row r="1322" spans="1:6">
      <c r="A1322">
        <v>5007080</v>
      </c>
      <c r="B1322">
        <v>2016</v>
      </c>
      <c r="C1322" s="10" t="s">
        <v>134</v>
      </c>
      <c r="D1322" s="15">
        <v>265095.99</v>
      </c>
      <c r="E1322">
        <f>IFERROR(VLOOKUP(C1322,'LEAID Match'!$A$2:$B$214,2,FALSE),"")</f>
        <v>5007080</v>
      </c>
      <c r="F1322">
        <f t="shared" si="9"/>
        <v>8</v>
      </c>
    </row>
    <row r="1323" spans="1:6">
      <c r="A1323">
        <v>5007080</v>
      </c>
      <c r="B1323">
        <v>2017</v>
      </c>
      <c r="C1323" s="10" t="s">
        <v>134</v>
      </c>
      <c r="D1323" s="15">
        <v>241383</v>
      </c>
      <c r="E1323">
        <f>IFERROR(VLOOKUP(C1323,'LEAID Match'!$A$2:$B$214,2,FALSE),"")</f>
        <v>5007080</v>
      </c>
      <c r="F1323">
        <f t="shared" si="9"/>
        <v>8</v>
      </c>
    </row>
    <row r="1324" spans="1:6">
      <c r="A1324">
        <v>5007080</v>
      </c>
      <c r="B1324">
        <v>2018</v>
      </c>
      <c r="C1324" s="10" t="s">
        <v>134</v>
      </c>
      <c r="D1324" s="15">
        <v>351212</v>
      </c>
      <c r="E1324">
        <f>IFERROR(VLOOKUP(C1324,'LEAID Match'!$A$2:$B$214,2,FALSE),"")</f>
        <v>5007080</v>
      </c>
      <c r="F1324">
        <f t="shared" si="9"/>
        <v>8</v>
      </c>
    </row>
    <row r="1325" spans="1:6">
      <c r="A1325">
        <v>5007080</v>
      </c>
      <c r="B1325">
        <v>2019</v>
      </c>
      <c r="C1325" s="10" t="s">
        <v>134</v>
      </c>
      <c r="D1325" s="15">
        <v>334377</v>
      </c>
      <c r="E1325">
        <f>IFERROR(VLOOKUP(C1325,'LEAID Match'!$A$2:$B$214,2,FALSE),"")</f>
        <v>5007080</v>
      </c>
      <c r="F1325">
        <f t="shared" si="9"/>
        <v>8</v>
      </c>
    </row>
    <row r="1326" spans="1:6">
      <c r="A1326">
        <v>5007080</v>
      </c>
      <c r="B1326">
        <v>2020</v>
      </c>
      <c r="C1326" s="10" t="s">
        <v>134</v>
      </c>
      <c r="D1326" s="15">
        <v>376733</v>
      </c>
      <c r="E1326">
        <f>IFERROR(VLOOKUP(C1326,'LEAID Match'!$A$2:$B$214,2,FALSE),"")</f>
        <v>5007080</v>
      </c>
      <c r="F1326">
        <f t="shared" si="9"/>
        <v>8</v>
      </c>
    </row>
    <row r="1327" spans="1:6">
      <c r="A1327">
        <v>5007080</v>
      </c>
      <c r="B1327">
        <v>2021</v>
      </c>
      <c r="C1327" s="10" t="s">
        <v>134</v>
      </c>
      <c r="D1327" s="15">
        <v>404375</v>
      </c>
      <c r="E1327">
        <f>IFERROR(VLOOKUP(C1327,'LEAID Match'!$A$2:$B$214,2,FALSE),"")</f>
        <v>5007080</v>
      </c>
      <c r="F1327">
        <f t="shared" si="9"/>
        <v>8</v>
      </c>
    </row>
    <row r="1328" spans="1:6">
      <c r="A1328">
        <v>5007080</v>
      </c>
      <c r="B1328">
        <v>2022</v>
      </c>
      <c r="C1328" s="10" t="s">
        <v>134</v>
      </c>
      <c r="D1328" s="15">
        <v>1007177</v>
      </c>
      <c r="E1328">
        <f>IFERROR(VLOOKUP(C1328,'LEAID Match'!$A$2:$B$214,2,FALSE),"")</f>
        <v>5007080</v>
      </c>
      <c r="F1328">
        <f t="shared" si="9"/>
        <v>8</v>
      </c>
    </row>
    <row r="1329" spans="1:6">
      <c r="A1329">
        <v>5007050</v>
      </c>
      <c r="B1329">
        <v>2015</v>
      </c>
      <c r="C1329" s="10" t="s">
        <v>133</v>
      </c>
      <c r="D1329" s="15">
        <v>1994170.95</v>
      </c>
      <c r="E1329">
        <f>IFERROR(VLOOKUP(C1329,'LEAID Match'!$A$2:$B$214,2,FALSE),"")</f>
        <v>5007050</v>
      </c>
      <c r="F1329">
        <f t="shared" si="9"/>
        <v>8</v>
      </c>
    </row>
    <row r="1330" spans="1:6">
      <c r="A1330">
        <v>5007050</v>
      </c>
      <c r="B1330">
        <v>2016</v>
      </c>
      <c r="C1330" s="10" t="s">
        <v>133</v>
      </c>
      <c r="D1330" s="15">
        <v>1917958.32</v>
      </c>
      <c r="E1330">
        <f>IFERROR(VLOOKUP(C1330,'LEAID Match'!$A$2:$B$214,2,FALSE),"")</f>
        <v>5007050</v>
      </c>
      <c r="F1330">
        <f t="shared" si="9"/>
        <v>8</v>
      </c>
    </row>
    <row r="1331" spans="1:6">
      <c r="A1331">
        <v>5007050</v>
      </c>
      <c r="B1331">
        <v>2017</v>
      </c>
      <c r="C1331" s="10" t="s">
        <v>133</v>
      </c>
      <c r="D1331" s="15">
        <v>2031185</v>
      </c>
      <c r="E1331">
        <f>IFERROR(VLOOKUP(C1331,'LEAID Match'!$A$2:$B$214,2,FALSE),"")</f>
        <v>5007050</v>
      </c>
      <c r="F1331">
        <f t="shared" si="9"/>
        <v>8</v>
      </c>
    </row>
    <row r="1332" spans="1:6">
      <c r="A1332">
        <v>5007050</v>
      </c>
      <c r="B1332">
        <v>2018</v>
      </c>
      <c r="C1332" s="10" t="s">
        <v>133</v>
      </c>
      <c r="D1332" s="15">
        <v>2930157</v>
      </c>
      <c r="E1332">
        <f>IFERROR(VLOOKUP(C1332,'LEAID Match'!$A$2:$B$214,2,FALSE),"")</f>
        <v>5007050</v>
      </c>
      <c r="F1332">
        <f t="shared" si="9"/>
        <v>8</v>
      </c>
    </row>
    <row r="1333" spans="1:6">
      <c r="A1333">
        <v>5007050</v>
      </c>
      <c r="B1333">
        <v>2019</v>
      </c>
      <c r="C1333" s="10" t="s">
        <v>133</v>
      </c>
      <c r="D1333" s="15">
        <v>3088507</v>
      </c>
      <c r="E1333">
        <f>IFERROR(VLOOKUP(C1333,'LEAID Match'!$A$2:$B$214,2,FALSE),"")</f>
        <v>5007050</v>
      </c>
      <c r="F1333">
        <f t="shared" si="9"/>
        <v>8</v>
      </c>
    </row>
    <row r="1334" spans="1:6">
      <c r="A1334">
        <v>5007050</v>
      </c>
      <c r="B1334">
        <v>2020</v>
      </c>
      <c r="C1334" s="10" t="s">
        <v>133</v>
      </c>
      <c r="D1334" s="15">
        <v>3244985</v>
      </c>
      <c r="E1334">
        <f>IFERROR(VLOOKUP(C1334,'LEAID Match'!$A$2:$B$214,2,FALSE),"")</f>
        <v>5007050</v>
      </c>
      <c r="F1334">
        <f t="shared" si="9"/>
        <v>8</v>
      </c>
    </row>
    <row r="1335" spans="1:6">
      <c r="A1335">
        <v>5007050</v>
      </c>
      <c r="B1335">
        <v>2021</v>
      </c>
      <c r="C1335" s="10" t="s">
        <v>133</v>
      </c>
      <c r="D1335" s="15">
        <v>3532357</v>
      </c>
      <c r="E1335">
        <f>IFERROR(VLOOKUP(C1335,'LEAID Match'!$A$2:$B$214,2,FALSE),"")</f>
        <v>5007050</v>
      </c>
      <c r="F1335">
        <f t="shared" si="9"/>
        <v>8</v>
      </c>
    </row>
    <row r="1336" spans="1:6">
      <c r="A1336">
        <v>5007050</v>
      </c>
      <c r="B1336">
        <v>2022</v>
      </c>
      <c r="C1336" s="10" t="s">
        <v>133</v>
      </c>
      <c r="D1336" s="15">
        <v>8904431</v>
      </c>
      <c r="E1336">
        <f>IFERROR(VLOOKUP(C1336,'LEAID Match'!$A$2:$B$214,2,FALSE),"")</f>
        <v>5007050</v>
      </c>
      <c r="F1336">
        <f t="shared" si="9"/>
        <v>8</v>
      </c>
    </row>
    <row r="1337" spans="1:6">
      <c r="A1337">
        <v>5006990</v>
      </c>
      <c r="B1337">
        <v>2015</v>
      </c>
      <c r="C1337" s="10" t="s">
        <v>132</v>
      </c>
      <c r="D1337" s="15">
        <v>204230.64</v>
      </c>
      <c r="E1337">
        <f>IFERROR(VLOOKUP(C1337,'LEAID Match'!$A$2:$B$214,2,FALSE),"")</f>
        <v>5006990</v>
      </c>
      <c r="F1337">
        <f t="shared" si="9"/>
        <v>8</v>
      </c>
    </row>
    <row r="1338" spans="1:6">
      <c r="A1338">
        <v>5006990</v>
      </c>
      <c r="B1338">
        <v>2016</v>
      </c>
      <c r="C1338" s="10" t="s">
        <v>132</v>
      </c>
      <c r="D1338" s="15">
        <v>227563.02</v>
      </c>
      <c r="E1338">
        <f>IFERROR(VLOOKUP(C1338,'LEAID Match'!$A$2:$B$214,2,FALSE),"")</f>
        <v>5006990</v>
      </c>
      <c r="F1338">
        <f t="shared" si="9"/>
        <v>8</v>
      </c>
    </row>
    <row r="1339" spans="1:6">
      <c r="A1339">
        <v>5006990</v>
      </c>
      <c r="B1339">
        <v>2017</v>
      </c>
      <c r="C1339" s="10" t="s">
        <v>132</v>
      </c>
      <c r="D1339" s="15">
        <v>240723</v>
      </c>
      <c r="E1339">
        <f>IFERROR(VLOOKUP(C1339,'LEAID Match'!$A$2:$B$214,2,FALSE),"")</f>
        <v>5006990</v>
      </c>
      <c r="F1339">
        <f t="shared" si="9"/>
        <v>8</v>
      </c>
    </row>
    <row r="1340" spans="1:6">
      <c r="A1340">
        <v>5006990</v>
      </c>
      <c r="B1340">
        <v>2018</v>
      </c>
      <c r="C1340" s="10" t="s">
        <v>132</v>
      </c>
      <c r="D1340" s="15">
        <v>346362</v>
      </c>
      <c r="E1340">
        <f>IFERROR(VLOOKUP(C1340,'LEAID Match'!$A$2:$B$214,2,FALSE),"")</f>
        <v>5006990</v>
      </c>
      <c r="F1340">
        <f t="shared" si="9"/>
        <v>8</v>
      </c>
    </row>
    <row r="1341" spans="1:6">
      <c r="A1341">
        <v>5006990</v>
      </c>
      <c r="B1341">
        <v>2019</v>
      </c>
      <c r="C1341" s="10" t="s">
        <v>132</v>
      </c>
      <c r="D1341" s="15">
        <v>0</v>
      </c>
      <c r="E1341">
        <f>IFERROR(VLOOKUP(C1341,'LEAID Match'!$A$2:$B$214,2,FALSE),"")</f>
        <v>5006990</v>
      </c>
      <c r="F1341">
        <f t="shared" si="9"/>
        <v>8</v>
      </c>
    </row>
    <row r="1342" spans="1:6">
      <c r="A1342">
        <v>5006990</v>
      </c>
      <c r="B1342">
        <v>2020</v>
      </c>
      <c r="C1342" s="10" t="s">
        <v>132</v>
      </c>
      <c r="D1342" s="15">
        <v>0</v>
      </c>
      <c r="E1342">
        <f>IFERROR(VLOOKUP(C1342,'LEAID Match'!$A$2:$B$214,2,FALSE),"")</f>
        <v>5006990</v>
      </c>
      <c r="F1342">
        <f t="shared" si="9"/>
        <v>8</v>
      </c>
    </row>
    <row r="1343" spans="1:6">
      <c r="A1343">
        <v>5006990</v>
      </c>
      <c r="B1343">
        <v>2021</v>
      </c>
      <c r="C1343" s="10" t="s">
        <v>132</v>
      </c>
      <c r="D1343" s="15">
        <v>0</v>
      </c>
      <c r="E1343">
        <f>IFERROR(VLOOKUP(C1343,'LEAID Match'!$A$2:$B$214,2,FALSE),"")</f>
        <v>5006990</v>
      </c>
      <c r="F1343">
        <f t="shared" si="9"/>
        <v>8</v>
      </c>
    </row>
    <row r="1344" spans="1:6">
      <c r="A1344">
        <v>5006990</v>
      </c>
      <c r="B1344">
        <v>2022</v>
      </c>
      <c r="C1344" s="10" t="s">
        <v>132</v>
      </c>
      <c r="D1344" s="15">
        <v>0</v>
      </c>
      <c r="E1344">
        <f>IFERROR(VLOOKUP(C1344,'LEAID Match'!$A$2:$B$214,2,FALSE),"")</f>
        <v>5006990</v>
      </c>
      <c r="F1344">
        <f t="shared" si="9"/>
        <v>8</v>
      </c>
    </row>
    <row r="1345" spans="1:6">
      <c r="A1345">
        <v>5006960</v>
      </c>
      <c r="B1345">
        <v>2015</v>
      </c>
      <c r="C1345" s="10" t="s">
        <v>131</v>
      </c>
      <c r="D1345" s="15">
        <v>32850.44</v>
      </c>
      <c r="E1345">
        <f>IFERROR(VLOOKUP(C1345,'LEAID Match'!$A$2:$B$214,2,FALSE),"")</f>
        <v>5006960</v>
      </c>
      <c r="F1345">
        <f t="shared" si="9"/>
        <v>8</v>
      </c>
    </row>
    <row r="1346" spans="1:6">
      <c r="A1346">
        <v>5006960</v>
      </c>
      <c r="B1346">
        <v>2016</v>
      </c>
      <c r="C1346" s="10" t="s">
        <v>131</v>
      </c>
      <c r="D1346" s="15">
        <v>33696.49</v>
      </c>
      <c r="E1346">
        <f>IFERROR(VLOOKUP(C1346,'LEAID Match'!$A$2:$B$214,2,FALSE),"")</f>
        <v>5006960</v>
      </c>
      <c r="F1346">
        <f t="shared" ref="F1346:F1409" si="10">COUNTIF($A$705:$A$2272,A1346)</f>
        <v>8</v>
      </c>
    </row>
    <row r="1347" spans="1:6">
      <c r="A1347">
        <v>5006960</v>
      </c>
      <c r="B1347">
        <v>2017</v>
      </c>
      <c r="C1347" s="10" t="s">
        <v>131</v>
      </c>
      <c r="D1347" s="15">
        <v>39293</v>
      </c>
      <c r="E1347">
        <f>IFERROR(VLOOKUP(C1347,'LEAID Match'!$A$2:$B$214,2,FALSE),"")</f>
        <v>5006960</v>
      </c>
      <c r="F1347">
        <f t="shared" si="10"/>
        <v>8</v>
      </c>
    </row>
    <row r="1348" spans="1:6">
      <c r="A1348">
        <v>5006960</v>
      </c>
      <c r="B1348">
        <v>2018</v>
      </c>
      <c r="C1348" s="10" t="s">
        <v>131</v>
      </c>
      <c r="D1348" s="15">
        <v>53451</v>
      </c>
      <c r="E1348">
        <f>IFERROR(VLOOKUP(C1348,'LEAID Match'!$A$2:$B$214,2,FALSE),"")</f>
        <v>5006960</v>
      </c>
      <c r="F1348">
        <f t="shared" si="10"/>
        <v>8</v>
      </c>
    </row>
    <row r="1349" spans="1:6">
      <c r="A1349">
        <v>5006960</v>
      </c>
      <c r="B1349">
        <v>2019</v>
      </c>
      <c r="C1349" s="10" t="s">
        <v>131</v>
      </c>
      <c r="D1349" s="15">
        <v>0</v>
      </c>
      <c r="E1349">
        <f>IFERROR(VLOOKUP(C1349,'LEAID Match'!$A$2:$B$214,2,FALSE),"")</f>
        <v>5006960</v>
      </c>
      <c r="F1349">
        <f t="shared" si="10"/>
        <v>8</v>
      </c>
    </row>
    <row r="1350" spans="1:6">
      <c r="A1350">
        <v>5006960</v>
      </c>
      <c r="B1350">
        <v>2020</v>
      </c>
      <c r="C1350" s="10" t="s">
        <v>131</v>
      </c>
      <c r="D1350" s="15">
        <v>0</v>
      </c>
      <c r="E1350">
        <f>IFERROR(VLOOKUP(C1350,'LEAID Match'!$A$2:$B$214,2,FALSE),"")</f>
        <v>5006960</v>
      </c>
      <c r="F1350">
        <f t="shared" si="10"/>
        <v>8</v>
      </c>
    </row>
    <row r="1351" spans="1:6">
      <c r="A1351">
        <v>5006960</v>
      </c>
      <c r="B1351">
        <v>2021</v>
      </c>
      <c r="C1351" s="10" t="s">
        <v>131</v>
      </c>
      <c r="D1351" s="15">
        <v>0</v>
      </c>
      <c r="E1351">
        <f>IFERROR(VLOOKUP(C1351,'LEAID Match'!$A$2:$B$214,2,FALSE),"")</f>
        <v>5006960</v>
      </c>
      <c r="F1351">
        <f t="shared" si="10"/>
        <v>8</v>
      </c>
    </row>
    <row r="1352" spans="1:6">
      <c r="A1352">
        <v>5006960</v>
      </c>
      <c r="B1352">
        <v>2022</v>
      </c>
      <c r="C1352" s="10" t="s">
        <v>131</v>
      </c>
      <c r="D1352" s="15">
        <v>0</v>
      </c>
      <c r="E1352">
        <f>IFERROR(VLOOKUP(C1352,'LEAID Match'!$A$2:$B$214,2,FALSE),"")</f>
        <v>5006960</v>
      </c>
      <c r="F1352">
        <f t="shared" si="10"/>
        <v>8</v>
      </c>
    </row>
    <row r="1353" spans="1:6">
      <c r="A1353">
        <v>5006930</v>
      </c>
      <c r="B1353">
        <v>2015</v>
      </c>
      <c r="C1353" s="10" t="s">
        <v>130</v>
      </c>
      <c r="D1353" s="15">
        <v>355473.96</v>
      </c>
      <c r="E1353">
        <f>IFERROR(VLOOKUP(C1353,'LEAID Match'!$A$2:$B$214,2,FALSE),"")</f>
        <v>5006930</v>
      </c>
      <c r="F1353">
        <f t="shared" si="10"/>
        <v>8</v>
      </c>
    </row>
    <row r="1354" spans="1:6">
      <c r="A1354">
        <v>5006930</v>
      </c>
      <c r="B1354">
        <v>2016</v>
      </c>
      <c r="C1354" s="10" t="s">
        <v>130</v>
      </c>
      <c r="D1354" s="15">
        <v>342440.74</v>
      </c>
      <c r="E1354">
        <f>IFERROR(VLOOKUP(C1354,'LEAID Match'!$A$2:$B$214,2,FALSE),"")</f>
        <v>5006930</v>
      </c>
      <c r="F1354">
        <f t="shared" si="10"/>
        <v>8</v>
      </c>
    </row>
    <row r="1355" spans="1:6">
      <c r="A1355">
        <v>5006930</v>
      </c>
      <c r="B1355">
        <v>2017</v>
      </c>
      <c r="C1355" s="10" t="s">
        <v>130</v>
      </c>
      <c r="D1355" s="15">
        <v>371430</v>
      </c>
      <c r="E1355">
        <f>IFERROR(VLOOKUP(C1355,'LEAID Match'!$A$2:$B$214,2,FALSE),"")</f>
        <v>5006930</v>
      </c>
      <c r="F1355">
        <f t="shared" si="10"/>
        <v>8</v>
      </c>
    </row>
    <row r="1356" spans="1:6">
      <c r="A1356">
        <v>5006930</v>
      </c>
      <c r="B1356">
        <v>2018</v>
      </c>
      <c r="C1356" s="10" t="s">
        <v>130</v>
      </c>
      <c r="D1356" s="15">
        <v>517214</v>
      </c>
      <c r="E1356">
        <f>IFERROR(VLOOKUP(C1356,'LEAID Match'!$A$2:$B$214,2,FALSE),"")</f>
        <v>5006930</v>
      </c>
      <c r="F1356">
        <f t="shared" si="10"/>
        <v>8</v>
      </c>
    </row>
    <row r="1357" spans="1:6">
      <c r="A1357">
        <v>5006930</v>
      </c>
      <c r="B1357">
        <v>2019</v>
      </c>
      <c r="C1357" s="10" t="s">
        <v>130</v>
      </c>
      <c r="D1357" s="15">
        <v>537890</v>
      </c>
      <c r="E1357">
        <f>IFERROR(VLOOKUP(C1357,'LEAID Match'!$A$2:$B$214,2,FALSE),"")</f>
        <v>5006930</v>
      </c>
      <c r="F1357">
        <f t="shared" si="10"/>
        <v>8</v>
      </c>
    </row>
    <row r="1358" spans="1:6">
      <c r="A1358">
        <v>5006930</v>
      </c>
      <c r="B1358">
        <v>2020</v>
      </c>
      <c r="C1358" s="10" t="s">
        <v>130</v>
      </c>
      <c r="D1358" s="15">
        <v>552641</v>
      </c>
      <c r="E1358">
        <f>IFERROR(VLOOKUP(C1358,'LEAID Match'!$A$2:$B$214,2,FALSE),"")</f>
        <v>5006930</v>
      </c>
      <c r="F1358">
        <f t="shared" si="10"/>
        <v>8</v>
      </c>
    </row>
    <row r="1359" spans="1:6">
      <c r="A1359">
        <v>5006930</v>
      </c>
      <c r="B1359">
        <v>2021</v>
      </c>
      <c r="C1359" s="10" t="s">
        <v>130</v>
      </c>
      <c r="D1359" s="15">
        <v>542259</v>
      </c>
      <c r="E1359">
        <f>IFERROR(VLOOKUP(C1359,'LEAID Match'!$A$2:$B$214,2,FALSE),"")</f>
        <v>5006930</v>
      </c>
      <c r="F1359">
        <f t="shared" si="10"/>
        <v>8</v>
      </c>
    </row>
    <row r="1360" spans="1:6">
      <c r="A1360">
        <v>5006930</v>
      </c>
      <c r="B1360">
        <v>2022</v>
      </c>
      <c r="C1360" s="10" t="s">
        <v>130</v>
      </c>
      <c r="D1360" s="15">
        <v>1349049</v>
      </c>
      <c r="E1360">
        <f>IFERROR(VLOOKUP(C1360,'LEAID Match'!$A$2:$B$214,2,FALSE),"")</f>
        <v>5006930</v>
      </c>
      <c r="F1360">
        <f t="shared" si="10"/>
        <v>8</v>
      </c>
    </row>
    <row r="1361" spans="1:6">
      <c r="A1361">
        <v>5006900</v>
      </c>
      <c r="B1361">
        <v>2015</v>
      </c>
      <c r="C1361" s="10" t="s">
        <v>129</v>
      </c>
      <c r="D1361" s="15">
        <v>121108.65</v>
      </c>
      <c r="E1361">
        <f>IFERROR(VLOOKUP(C1361,'LEAID Match'!$A$2:$B$214,2,FALSE),"")</f>
        <v>5006900</v>
      </c>
      <c r="F1361">
        <f t="shared" si="10"/>
        <v>8</v>
      </c>
    </row>
    <row r="1362" spans="1:6">
      <c r="A1362">
        <v>5006900</v>
      </c>
      <c r="B1362">
        <v>2016</v>
      </c>
      <c r="C1362" s="10" t="s">
        <v>129</v>
      </c>
      <c r="D1362" s="15">
        <v>104036.13</v>
      </c>
      <c r="E1362">
        <f>IFERROR(VLOOKUP(C1362,'LEAID Match'!$A$2:$B$214,2,FALSE),"")</f>
        <v>5006900</v>
      </c>
      <c r="F1362">
        <f t="shared" si="10"/>
        <v>8</v>
      </c>
    </row>
    <row r="1363" spans="1:6">
      <c r="A1363">
        <v>5006900</v>
      </c>
      <c r="B1363">
        <v>2017</v>
      </c>
      <c r="C1363" s="10" t="s">
        <v>129</v>
      </c>
      <c r="D1363" s="15">
        <v>126052</v>
      </c>
      <c r="E1363">
        <f>IFERROR(VLOOKUP(C1363,'LEAID Match'!$A$2:$B$214,2,FALSE),"")</f>
        <v>5006900</v>
      </c>
      <c r="F1363">
        <f t="shared" si="10"/>
        <v>8</v>
      </c>
    </row>
    <row r="1364" spans="1:6">
      <c r="A1364">
        <v>5006900</v>
      </c>
      <c r="B1364">
        <v>2018</v>
      </c>
      <c r="C1364" s="10" t="s">
        <v>129</v>
      </c>
      <c r="D1364" s="15">
        <v>145489</v>
      </c>
      <c r="E1364">
        <f>IFERROR(VLOOKUP(C1364,'LEAID Match'!$A$2:$B$214,2,FALSE),"")</f>
        <v>5006900</v>
      </c>
      <c r="F1364">
        <f t="shared" si="10"/>
        <v>8</v>
      </c>
    </row>
    <row r="1365" spans="1:6">
      <c r="A1365">
        <v>5006900</v>
      </c>
      <c r="B1365">
        <v>2019</v>
      </c>
      <c r="C1365" s="10" t="s">
        <v>129</v>
      </c>
      <c r="D1365" s="15">
        <v>117</v>
      </c>
      <c r="E1365">
        <f>IFERROR(VLOOKUP(C1365,'LEAID Match'!$A$2:$B$214,2,FALSE),"")</f>
        <v>5006900</v>
      </c>
      <c r="F1365">
        <f t="shared" si="10"/>
        <v>8</v>
      </c>
    </row>
    <row r="1366" spans="1:6">
      <c r="A1366">
        <v>5006900</v>
      </c>
      <c r="B1366">
        <v>2020</v>
      </c>
      <c r="C1366" s="10" t="s">
        <v>129</v>
      </c>
      <c r="D1366" s="15">
        <v>0</v>
      </c>
      <c r="E1366">
        <f>IFERROR(VLOOKUP(C1366,'LEAID Match'!$A$2:$B$214,2,FALSE),"")</f>
        <v>5006900</v>
      </c>
      <c r="F1366">
        <f t="shared" si="10"/>
        <v>8</v>
      </c>
    </row>
    <row r="1367" spans="1:6">
      <c r="A1367">
        <v>5006900</v>
      </c>
      <c r="B1367">
        <v>2021</v>
      </c>
      <c r="C1367" s="10" t="s">
        <v>129</v>
      </c>
      <c r="D1367" s="15">
        <v>0</v>
      </c>
      <c r="E1367">
        <f>IFERROR(VLOOKUP(C1367,'LEAID Match'!$A$2:$B$214,2,FALSE),"")</f>
        <v>5006900</v>
      </c>
      <c r="F1367">
        <f t="shared" si="10"/>
        <v>8</v>
      </c>
    </row>
    <row r="1368" spans="1:6">
      <c r="A1368">
        <v>5006900</v>
      </c>
      <c r="B1368">
        <v>2022</v>
      </c>
      <c r="C1368" s="10" t="s">
        <v>129</v>
      </c>
      <c r="D1368" s="15">
        <v>0</v>
      </c>
      <c r="E1368">
        <f>IFERROR(VLOOKUP(C1368,'LEAID Match'!$A$2:$B$214,2,FALSE),"")</f>
        <v>5006900</v>
      </c>
      <c r="F1368">
        <f t="shared" si="10"/>
        <v>8</v>
      </c>
    </row>
    <row r="1369" spans="1:6">
      <c r="A1369">
        <v>5006810</v>
      </c>
      <c r="B1369">
        <v>2015</v>
      </c>
      <c r="C1369" s="10" t="s">
        <v>126</v>
      </c>
      <c r="D1369" s="15">
        <v>204905.33</v>
      </c>
      <c r="E1369">
        <f>IFERROR(VLOOKUP(C1369,'LEAID Match'!$A$2:$B$214,2,FALSE),"")</f>
        <v>5006810</v>
      </c>
      <c r="F1369">
        <f t="shared" si="10"/>
        <v>8</v>
      </c>
    </row>
    <row r="1370" spans="1:6">
      <c r="A1370">
        <v>5006810</v>
      </c>
      <c r="B1370">
        <v>2016</v>
      </c>
      <c r="C1370" s="10" t="s">
        <v>126</v>
      </c>
      <c r="D1370" s="15">
        <v>231231.83</v>
      </c>
      <c r="E1370">
        <f>IFERROR(VLOOKUP(C1370,'LEAID Match'!$A$2:$B$214,2,FALSE),"")</f>
        <v>5006810</v>
      </c>
      <c r="F1370">
        <f t="shared" si="10"/>
        <v>8</v>
      </c>
    </row>
    <row r="1371" spans="1:6">
      <c r="A1371">
        <v>5006810</v>
      </c>
      <c r="B1371">
        <v>2017</v>
      </c>
      <c r="C1371" s="10" t="s">
        <v>126</v>
      </c>
      <c r="D1371" s="15">
        <v>250142</v>
      </c>
      <c r="E1371">
        <f>IFERROR(VLOOKUP(C1371,'LEAID Match'!$A$2:$B$214,2,FALSE),"")</f>
        <v>5006810</v>
      </c>
      <c r="F1371">
        <f t="shared" si="10"/>
        <v>8</v>
      </c>
    </row>
    <row r="1372" spans="1:6">
      <c r="A1372">
        <v>5006810</v>
      </c>
      <c r="B1372">
        <v>2018</v>
      </c>
      <c r="C1372" s="10" t="s">
        <v>126</v>
      </c>
      <c r="D1372" s="15">
        <v>344218</v>
      </c>
      <c r="E1372">
        <f>IFERROR(VLOOKUP(C1372,'LEAID Match'!$A$2:$B$214,2,FALSE),"")</f>
        <v>5006810</v>
      </c>
      <c r="F1372">
        <f t="shared" si="10"/>
        <v>8</v>
      </c>
    </row>
    <row r="1373" spans="1:6">
      <c r="A1373">
        <v>5006810</v>
      </c>
      <c r="B1373">
        <v>2019</v>
      </c>
      <c r="C1373" s="10" t="s">
        <v>126</v>
      </c>
      <c r="D1373" s="15">
        <v>352768</v>
      </c>
      <c r="E1373">
        <f>IFERROR(VLOOKUP(C1373,'LEAID Match'!$A$2:$B$214,2,FALSE),"")</f>
        <v>5006810</v>
      </c>
      <c r="F1373">
        <f t="shared" si="10"/>
        <v>8</v>
      </c>
    </row>
    <row r="1374" spans="1:6">
      <c r="A1374">
        <v>5006810</v>
      </c>
      <c r="B1374">
        <v>2020</v>
      </c>
      <c r="C1374" s="10" t="s">
        <v>126</v>
      </c>
      <c r="D1374" s="15">
        <v>0</v>
      </c>
      <c r="E1374">
        <f>IFERROR(VLOOKUP(C1374,'LEAID Match'!$A$2:$B$214,2,FALSE),"")</f>
        <v>5006810</v>
      </c>
      <c r="F1374">
        <f t="shared" si="10"/>
        <v>8</v>
      </c>
    </row>
    <row r="1375" spans="1:6">
      <c r="A1375">
        <v>5006810</v>
      </c>
      <c r="B1375">
        <v>2021</v>
      </c>
      <c r="C1375" s="10" t="s">
        <v>126</v>
      </c>
      <c r="D1375" s="15">
        <v>0</v>
      </c>
      <c r="E1375">
        <f>IFERROR(VLOOKUP(C1375,'LEAID Match'!$A$2:$B$214,2,FALSE),"")</f>
        <v>5006810</v>
      </c>
      <c r="F1375">
        <f t="shared" si="10"/>
        <v>8</v>
      </c>
    </row>
    <row r="1376" spans="1:6">
      <c r="A1376">
        <v>5006810</v>
      </c>
      <c r="B1376">
        <v>2022</v>
      </c>
      <c r="C1376" s="10" t="s">
        <v>126</v>
      </c>
      <c r="D1376" s="15">
        <v>0</v>
      </c>
      <c r="E1376">
        <f>IFERROR(VLOOKUP(C1376,'LEAID Match'!$A$2:$B$214,2,FALSE),"")</f>
        <v>5006810</v>
      </c>
      <c r="F1376">
        <f t="shared" si="10"/>
        <v>8</v>
      </c>
    </row>
    <row r="1377" spans="1:6">
      <c r="A1377">
        <v>5006780</v>
      </c>
      <c r="B1377">
        <v>2015</v>
      </c>
      <c r="C1377" s="10" t="s">
        <v>125</v>
      </c>
      <c r="D1377" s="15">
        <v>42436.55</v>
      </c>
      <c r="E1377">
        <f>IFERROR(VLOOKUP(C1377,'LEAID Match'!$A$2:$B$214,2,FALSE),"")</f>
        <v>5006780</v>
      </c>
      <c r="F1377">
        <f t="shared" si="10"/>
        <v>8</v>
      </c>
    </row>
    <row r="1378" spans="1:6">
      <c r="A1378">
        <v>5006780</v>
      </c>
      <c r="B1378">
        <v>2016</v>
      </c>
      <c r="C1378" s="10" t="s">
        <v>125</v>
      </c>
      <c r="D1378" s="15">
        <v>39317.18</v>
      </c>
      <c r="E1378">
        <f>IFERROR(VLOOKUP(C1378,'LEAID Match'!$A$2:$B$214,2,FALSE),"")</f>
        <v>5006780</v>
      </c>
      <c r="F1378">
        <f t="shared" si="10"/>
        <v>8</v>
      </c>
    </row>
    <row r="1379" spans="1:6">
      <c r="A1379">
        <v>5006780</v>
      </c>
      <c r="B1379">
        <v>2017</v>
      </c>
      <c r="C1379" s="10" t="s">
        <v>125</v>
      </c>
      <c r="D1379" s="15">
        <v>42229</v>
      </c>
      <c r="E1379">
        <f>IFERROR(VLOOKUP(C1379,'LEAID Match'!$A$2:$B$214,2,FALSE),"")</f>
        <v>5006780</v>
      </c>
      <c r="F1379">
        <f t="shared" si="10"/>
        <v>8</v>
      </c>
    </row>
    <row r="1380" spans="1:6">
      <c r="A1380">
        <v>5006780</v>
      </c>
      <c r="B1380">
        <v>2018</v>
      </c>
      <c r="C1380" s="10" t="s">
        <v>125</v>
      </c>
      <c r="D1380" s="15">
        <v>54114</v>
      </c>
      <c r="E1380">
        <f>IFERROR(VLOOKUP(C1380,'LEAID Match'!$A$2:$B$214,2,FALSE),"")</f>
        <v>5006780</v>
      </c>
      <c r="F1380">
        <f t="shared" si="10"/>
        <v>8</v>
      </c>
    </row>
    <row r="1381" spans="1:6">
      <c r="A1381">
        <v>5006780</v>
      </c>
      <c r="B1381">
        <v>2019</v>
      </c>
      <c r="C1381" s="10" t="s">
        <v>125</v>
      </c>
      <c r="D1381" s="15">
        <v>0</v>
      </c>
      <c r="E1381">
        <f>IFERROR(VLOOKUP(C1381,'LEAID Match'!$A$2:$B$214,2,FALSE),"")</f>
        <v>5006780</v>
      </c>
      <c r="F1381">
        <f t="shared" si="10"/>
        <v>8</v>
      </c>
    </row>
    <row r="1382" spans="1:6">
      <c r="A1382">
        <v>5006780</v>
      </c>
      <c r="B1382">
        <v>2020</v>
      </c>
      <c r="C1382" s="10" t="s">
        <v>125</v>
      </c>
      <c r="D1382" s="15">
        <v>0</v>
      </c>
      <c r="E1382">
        <f>IFERROR(VLOOKUP(C1382,'LEAID Match'!$A$2:$B$214,2,FALSE),"")</f>
        <v>5006780</v>
      </c>
      <c r="F1382">
        <f t="shared" si="10"/>
        <v>8</v>
      </c>
    </row>
    <row r="1383" spans="1:6">
      <c r="A1383">
        <v>5006780</v>
      </c>
      <c r="B1383">
        <v>2021</v>
      </c>
      <c r="C1383" s="10" t="s">
        <v>125</v>
      </c>
      <c r="D1383" s="15">
        <v>0</v>
      </c>
      <c r="E1383">
        <f>IFERROR(VLOOKUP(C1383,'LEAID Match'!$A$2:$B$214,2,FALSE),"")</f>
        <v>5006780</v>
      </c>
      <c r="F1383">
        <f t="shared" si="10"/>
        <v>8</v>
      </c>
    </row>
    <row r="1384" spans="1:6">
      <c r="A1384">
        <v>5006780</v>
      </c>
      <c r="B1384">
        <v>2022</v>
      </c>
      <c r="C1384" s="10" t="s">
        <v>125</v>
      </c>
      <c r="D1384" s="15">
        <v>128619</v>
      </c>
      <c r="E1384">
        <f>IFERROR(VLOOKUP(C1384,'LEAID Match'!$A$2:$B$214,2,FALSE),"")</f>
        <v>5006780</v>
      </c>
      <c r="F1384">
        <f t="shared" si="10"/>
        <v>8</v>
      </c>
    </row>
    <row r="1385" spans="1:6">
      <c r="A1385">
        <v>5006750</v>
      </c>
      <c r="B1385">
        <v>2015</v>
      </c>
      <c r="C1385" s="10" t="s">
        <v>124</v>
      </c>
      <c r="D1385" s="15">
        <v>37623.360000000001</v>
      </c>
      <c r="E1385">
        <f>IFERROR(VLOOKUP(C1385,'LEAID Match'!$A$2:$B$214,2,FALSE),"")</f>
        <v>5006750</v>
      </c>
      <c r="F1385">
        <f t="shared" si="10"/>
        <v>8</v>
      </c>
    </row>
    <row r="1386" spans="1:6">
      <c r="A1386">
        <v>5006750</v>
      </c>
      <c r="B1386">
        <v>2016</v>
      </c>
      <c r="C1386" s="10" t="s">
        <v>124</v>
      </c>
      <c r="D1386" s="15">
        <v>39790.839999999997</v>
      </c>
      <c r="E1386">
        <f>IFERROR(VLOOKUP(C1386,'LEAID Match'!$A$2:$B$214,2,FALSE),"")</f>
        <v>5006750</v>
      </c>
      <c r="F1386">
        <f t="shared" si="10"/>
        <v>8</v>
      </c>
    </row>
    <row r="1387" spans="1:6">
      <c r="A1387">
        <v>5006750</v>
      </c>
      <c r="B1387">
        <v>2017</v>
      </c>
      <c r="C1387" s="10" t="s">
        <v>124</v>
      </c>
      <c r="D1387" s="15">
        <v>43513</v>
      </c>
      <c r="E1387">
        <f>IFERROR(VLOOKUP(C1387,'LEAID Match'!$A$2:$B$214,2,FALSE),"")</f>
        <v>5006750</v>
      </c>
      <c r="F1387">
        <f t="shared" si="10"/>
        <v>8</v>
      </c>
    </row>
    <row r="1388" spans="1:6">
      <c r="A1388">
        <v>5006750</v>
      </c>
      <c r="B1388">
        <v>2018</v>
      </c>
      <c r="C1388" s="10" t="s">
        <v>124</v>
      </c>
      <c r="D1388" s="15">
        <v>56797</v>
      </c>
      <c r="E1388">
        <f>IFERROR(VLOOKUP(C1388,'LEAID Match'!$A$2:$B$214,2,FALSE),"")</f>
        <v>5006750</v>
      </c>
      <c r="F1388">
        <f t="shared" si="10"/>
        <v>8</v>
      </c>
    </row>
    <row r="1389" spans="1:6">
      <c r="A1389">
        <v>5006750</v>
      </c>
      <c r="B1389">
        <v>2019</v>
      </c>
      <c r="C1389" s="10" t="s">
        <v>124</v>
      </c>
      <c r="D1389" s="15">
        <v>0</v>
      </c>
      <c r="E1389">
        <f>IFERROR(VLOOKUP(C1389,'LEAID Match'!$A$2:$B$214,2,FALSE),"")</f>
        <v>5006750</v>
      </c>
      <c r="F1389">
        <f t="shared" si="10"/>
        <v>8</v>
      </c>
    </row>
    <row r="1390" spans="1:6">
      <c r="A1390">
        <v>5006750</v>
      </c>
      <c r="B1390">
        <v>2020</v>
      </c>
      <c r="C1390" s="10" t="s">
        <v>124</v>
      </c>
      <c r="D1390" s="15">
        <v>0</v>
      </c>
      <c r="E1390">
        <f>IFERROR(VLOOKUP(C1390,'LEAID Match'!$A$2:$B$214,2,FALSE),"")</f>
        <v>5006750</v>
      </c>
      <c r="F1390">
        <f t="shared" si="10"/>
        <v>8</v>
      </c>
    </row>
    <row r="1391" spans="1:6">
      <c r="A1391">
        <v>5006750</v>
      </c>
      <c r="B1391">
        <v>2021</v>
      </c>
      <c r="C1391" s="10" t="s">
        <v>124</v>
      </c>
      <c r="D1391" s="15">
        <v>0</v>
      </c>
      <c r="E1391">
        <f>IFERROR(VLOOKUP(C1391,'LEAID Match'!$A$2:$B$214,2,FALSE),"")</f>
        <v>5006750</v>
      </c>
      <c r="F1391">
        <f t="shared" si="10"/>
        <v>8</v>
      </c>
    </row>
    <row r="1392" spans="1:6">
      <c r="A1392">
        <v>5006750</v>
      </c>
      <c r="B1392">
        <v>2022</v>
      </c>
      <c r="C1392" s="10" t="s">
        <v>124</v>
      </c>
      <c r="D1392" s="15">
        <v>0</v>
      </c>
      <c r="E1392">
        <f>IFERROR(VLOOKUP(C1392,'LEAID Match'!$A$2:$B$214,2,FALSE),"")</f>
        <v>5006750</v>
      </c>
      <c r="F1392">
        <f t="shared" si="10"/>
        <v>8</v>
      </c>
    </row>
    <row r="1393" spans="1:6">
      <c r="A1393">
        <v>5006690</v>
      </c>
      <c r="B1393">
        <v>2015</v>
      </c>
      <c r="C1393" s="10" t="s">
        <v>122</v>
      </c>
      <c r="D1393" s="15">
        <v>142282.48000000001</v>
      </c>
      <c r="E1393">
        <f>IFERROR(VLOOKUP(C1393,'LEAID Match'!$A$2:$B$214,2,FALSE),"")</f>
        <v>5006690</v>
      </c>
      <c r="F1393">
        <f t="shared" si="10"/>
        <v>8</v>
      </c>
    </row>
    <row r="1394" spans="1:6">
      <c r="A1394">
        <v>5006690</v>
      </c>
      <c r="B1394">
        <v>2016</v>
      </c>
      <c r="C1394" s="10" t="s">
        <v>122</v>
      </c>
      <c r="D1394" s="15">
        <v>133906.25</v>
      </c>
      <c r="E1394">
        <f>IFERROR(VLOOKUP(C1394,'LEAID Match'!$A$2:$B$214,2,FALSE),"")</f>
        <v>5006690</v>
      </c>
      <c r="F1394">
        <f t="shared" si="10"/>
        <v>8</v>
      </c>
    </row>
    <row r="1395" spans="1:6">
      <c r="A1395">
        <v>5006690</v>
      </c>
      <c r="B1395">
        <v>2017</v>
      </c>
      <c r="C1395" s="10" t="s">
        <v>122</v>
      </c>
      <c r="D1395" s="15">
        <v>142571</v>
      </c>
      <c r="E1395">
        <f>IFERROR(VLOOKUP(C1395,'LEAID Match'!$A$2:$B$214,2,FALSE),"")</f>
        <v>5006690</v>
      </c>
      <c r="F1395">
        <f t="shared" si="10"/>
        <v>8</v>
      </c>
    </row>
    <row r="1396" spans="1:6">
      <c r="A1396">
        <v>5006690</v>
      </c>
      <c r="B1396">
        <v>2018</v>
      </c>
      <c r="C1396" s="10" t="s">
        <v>122</v>
      </c>
      <c r="D1396" s="15">
        <v>197154</v>
      </c>
      <c r="E1396">
        <f>IFERROR(VLOOKUP(C1396,'LEAID Match'!$A$2:$B$214,2,FALSE),"")</f>
        <v>5006690</v>
      </c>
      <c r="F1396">
        <f t="shared" si="10"/>
        <v>8</v>
      </c>
    </row>
    <row r="1397" spans="1:6">
      <c r="A1397">
        <v>5006690</v>
      </c>
      <c r="B1397">
        <v>2019</v>
      </c>
      <c r="C1397" s="10" t="s">
        <v>122</v>
      </c>
      <c r="D1397" s="15">
        <v>197208</v>
      </c>
      <c r="E1397">
        <f>IFERROR(VLOOKUP(C1397,'LEAID Match'!$A$2:$B$214,2,FALSE),"")</f>
        <v>5006690</v>
      </c>
      <c r="F1397">
        <f t="shared" si="10"/>
        <v>8</v>
      </c>
    </row>
    <row r="1398" spans="1:6">
      <c r="A1398">
        <v>5006690</v>
      </c>
      <c r="B1398">
        <v>2020</v>
      </c>
      <c r="C1398" s="10" t="s">
        <v>122</v>
      </c>
      <c r="D1398" s="15">
        <v>0</v>
      </c>
      <c r="E1398">
        <f>IFERROR(VLOOKUP(C1398,'LEAID Match'!$A$2:$B$214,2,FALSE),"")</f>
        <v>5006690</v>
      </c>
      <c r="F1398">
        <f t="shared" si="10"/>
        <v>8</v>
      </c>
    </row>
    <row r="1399" spans="1:6">
      <c r="A1399">
        <v>5006690</v>
      </c>
      <c r="B1399">
        <v>2021</v>
      </c>
      <c r="C1399" s="10" t="s">
        <v>122</v>
      </c>
      <c r="D1399" s="15">
        <v>0</v>
      </c>
      <c r="E1399">
        <f>IFERROR(VLOOKUP(C1399,'LEAID Match'!$A$2:$B$214,2,FALSE),"")</f>
        <v>5006690</v>
      </c>
      <c r="F1399">
        <f t="shared" si="10"/>
        <v>8</v>
      </c>
    </row>
    <row r="1400" spans="1:6">
      <c r="A1400">
        <v>5006690</v>
      </c>
      <c r="B1400">
        <v>2022</v>
      </c>
      <c r="C1400" s="10" t="s">
        <v>122</v>
      </c>
      <c r="D1400" s="15">
        <v>0</v>
      </c>
      <c r="E1400">
        <f>IFERROR(VLOOKUP(C1400,'LEAID Match'!$A$2:$B$214,2,FALSE),"")</f>
        <v>5006690</v>
      </c>
      <c r="F1400">
        <f t="shared" si="10"/>
        <v>8</v>
      </c>
    </row>
    <row r="1401" spans="1:6">
      <c r="A1401">
        <v>5006660</v>
      </c>
      <c r="B1401">
        <v>2015</v>
      </c>
      <c r="C1401" s="10" t="s">
        <v>121</v>
      </c>
      <c r="D1401" s="15">
        <v>220060.12</v>
      </c>
      <c r="E1401">
        <f>IFERROR(VLOOKUP(C1401,'LEAID Match'!$A$2:$B$214,2,FALSE),"")</f>
        <v>5006660</v>
      </c>
      <c r="F1401">
        <f t="shared" si="10"/>
        <v>8</v>
      </c>
    </row>
    <row r="1402" spans="1:6">
      <c r="A1402">
        <v>5006660</v>
      </c>
      <c r="B1402">
        <v>2016</v>
      </c>
      <c r="C1402" s="10" t="s">
        <v>121</v>
      </c>
      <c r="D1402" s="15">
        <v>231911.15</v>
      </c>
      <c r="E1402">
        <f>IFERROR(VLOOKUP(C1402,'LEAID Match'!$A$2:$B$214,2,FALSE),"")</f>
        <v>5006660</v>
      </c>
      <c r="F1402">
        <f t="shared" si="10"/>
        <v>8</v>
      </c>
    </row>
    <row r="1403" spans="1:6">
      <c r="A1403">
        <v>5006660</v>
      </c>
      <c r="B1403">
        <v>2017</v>
      </c>
      <c r="C1403" s="10" t="s">
        <v>121</v>
      </c>
      <c r="D1403" s="15">
        <v>207225</v>
      </c>
      <c r="E1403">
        <f>IFERROR(VLOOKUP(C1403,'LEAID Match'!$A$2:$B$214,2,FALSE),"")</f>
        <v>5006660</v>
      </c>
      <c r="F1403">
        <f t="shared" si="10"/>
        <v>8</v>
      </c>
    </row>
    <row r="1404" spans="1:6">
      <c r="A1404">
        <v>5006660</v>
      </c>
      <c r="B1404">
        <v>2018</v>
      </c>
      <c r="C1404" s="10" t="s">
        <v>121</v>
      </c>
      <c r="D1404" s="15">
        <v>307790</v>
      </c>
      <c r="E1404">
        <f>IFERROR(VLOOKUP(C1404,'LEAID Match'!$A$2:$B$214,2,FALSE),"")</f>
        <v>5006660</v>
      </c>
      <c r="F1404">
        <f t="shared" si="10"/>
        <v>8</v>
      </c>
    </row>
    <row r="1405" spans="1:6">
      <c r="A1405">
        <v>5006660</v>
      </c>
      <c r="B1405">
        <v>2019</v>
      </c>
      <c r="C1405" s="10" t="s">
        <v>121</v>
      </c>
      <c r="D1405" s="15">
        <v>0</v>
      </c>
      <c r="E1405">
        <f>IFERROR(VLOOKUP(C1405,'LEAID Match'!$A$2:$B$214,2,FALSE),"")</f>
        <v>5006660</v>
      </c>
      <c r="F1405">
        <f t="shared" si="10"/>
        <v>8</v>
      </c>
    </row>
    <row r="1406" spans="1:6">
      <c r="A1406">
        <v>5006660</v>
      </c>
      <c r="B1406">
        <v>2020</v>
      </c>
      <c r="C1406" s="10" t="s">
        <v>121</v>
      </c>
      <c r="D1406" s="15">
        <v>0</v>
      </c>
      <c r="E1406">
        <f>IFERROR(VLOOKUP(C1406,'LEAID Match'!$A$2:$B$214,2,FALSE),"")</f>
        <v>5006660</v>
      </c>
      <c r="F1406">
        <f t="shared" si="10"/>
        <v>8</v>
      </c>
    </row>
    <row r="1407" spans="1:6">
      <c r="A1407">
        <v>5006660</v>
      </c>
      <c r="B1407">
        <v>2021</v>
      </c>
      <c r="C1407" s="10" t="s">
        <v>121</v>
      </c>
      <c r="D1407" s="15">
        <v>0</v>
      </c>
      <c r="E1407">
        <f>IFERROR(VLOOKUP(C1407,'LEAID Match'!$A$2:$B$214,2,FALSE),"")</f>
        <v>5006660</v>
      </c>
      <c r="F1407">
        <f t="shared" si="10"/>
        <v>8</v>
      </c>
    </row>
    <row r="1408" spans="1:6">
      <c r="A1408">
        <v>5006660</v>
      </c>
      <c r="B1408">
        <v>2022</v>
      </c>
      <c r="C1408" s="10" t="s">
        <v>121</v>
      </c>
      <c r="D1408" s="15">
        <v>0</v>
      </c>
      <c r="E1408">
        <f>IFERROR(VLOOKUP(C1408,'LEAID Match'!$A$2:$B$214,2,FALSE),"")</f>
        <v>5006660</v>
      </c>
      <c r="F1408">
        <f t="shared" si="10"/>
        <v>8</v>
      </c>
    </row>
    <row r="1409" spans="1:6">
      <c r="A1409">
        <v>5006630</v>
      </c>
      <c r="B1409">
        <v>2015</v>
      </c>
      <c r="C1409" s="10" t="s">
        <v>120</v>
      </c>
      <c r="D1409" s="15">
        <v>170104.15</v>
      </c>
      <c r="E1409">
        <f>IFERROR(VLOOKUP(C1409,'LEAID Match'!$A$2:$B$214,2,FALSE),"")</f>
        <v>5006630</v>
      </c>
      <c r="F1409">
        <f t="shared" si="10"/>
        <v>8</v>
      </c>
    </row>
    <row r="1410" spans="1:6">
      <c r="A1410">
        <v>5006630</v>
      </c>
      <c r="B1410">
        <v>2016</v>
      </c>
      <c r="C1410" s="10" t="s">
        <v>120</v>
      </c>
      <c r="D1410" s="15">
        <v>153465.09</v>
      </c>
      <c r="E1410">
        <f>IFERROR(VLOOKUP(C1410,'LEAID Match'!$A$2:$B$214,2,FALSE),"")</f>
        <v>5006630</v>
      </c>
      <c r="F1410">
        <f t="shared" ref="F1410:F1473" si="11">COUNTIF($A$705:$A$2272,A1410)</f>
        <v>8</v>
      </c>
    </row>
    <row r="1411" spans="1:6">
      <c r="A1411">
        <v>5006630</v>
      </c>
      <c r="B1411">
        <v>2017</v>
      </c>
      <c r="C1411" s="10" t="s">
        <v>120</v>
      </c>
      <c r="D1411" s="15">
        <v>161317</v>
      </c>
      <c r="E1411">
        <f>IFERROR(VLOOKUP(C1411,'LEAID Match'!$A$2:$B$214,2,FALSE),"")</f>
        <v>5006630</v>
      </c>
      <c r="F1411">
        <f t="shared" si="11"/>
        <v>8</v>
      </c>
    </row>
    <row r="1412" spans="1:6">
      <c r="A1412">
        <v>5006630</v>
      </c>
      <c r="B1412">
        <v>2018</v>
      </c>
      <c r="C1412" s="10" t="s">
        <v>120</v>
      </c>
      <c r="D1412" s="15">
        <v>218404</v>
      </c>
      <c r="E1412">
        <f>IFERROR(VLOOKUP(C1412,'LEAID Match'!$A$2:$B$214,2,FALSE),"")</f>
        <v>5006630</v>
      </c>
      <c r="F1412">
        <f t="shared" si="11"/>
        <v>8</v>
      </c>
    </row>
    <row r="1413" spans="1:6">
      <c r="A1413">
        <v>5006630</v>
      </c>
      <c r="B1413">
        <v>2019</v>
      </c>
      <c r="C1413" s="10" t="s">
        <v>120</v>
      </c>
      <c r="D1413" s="15">
        <v>216464</v>
      </c>
      <c r="E1413">
        <f>IFERROR(VLOOKUP(C1413,'LEAID Match'!$A$2:$B$214,2,FALSE),"")</f>
        <v>5006630</v>
      </c>
      <c r="F1413">
        <f t="shared" si="11"/>
        <v>8</v>
      </c>
    </row>
    <row r="1414" spans="1:6">
      <c r="A1414">
        <v>5006630</v>
      </c>
      <c r="B1414">
        <v>2020</v>
      </c>
      <c r="C1414" s="10" t="s">
        <v>120</v>
      </c>
      <c r="D1414" s="15">
        <v>0</v>
      </c>
      <c r="E1414">
        <f>IFERROR(VLOOKUP(C1414,'LEAID Match'!$A$2:$B$214,2,FALSE),"")</f>
        <v>5006630</v>
      </c>
      <c r="F1414">
        <f t="shared" si="11"/>
        <v>8</v>
      </c>
    </row>
    <row r="1415" spans="1:6">
      <c r="A1415">
        <v>5006630</v>
      </c>
      <c r="B1415">
        <v>2021</v>
      </c>
      <c r="C1415" s="10" t="s">
        <v>120</v>
      </c>
      <c r="D1415" s="15">
        <v>0</v>
      </c>
      <c r="E1415">
        <f>IFERROR(VLOOKUP(C1415,'LEAID Match'!$A$2:$B$214,2,FALSE),"")</f>
        <v>5006630</v>
      </c>
      <c r="F1415">
        <f t="shared" si="11"/>
        <v>8</v>
      </c>
    </row>
    <row r="1416" spans="1:6">
      <c r="A1416">
        <v>5006630</v>
      </c>
      <c r="B1416">
        <v>2022</v>
      </c>
      <c r="C1416" s="10" t="s">
        <v>120</v>
      </c>
      <c r="D1416" s="15">
        <v>0</v>
      </c>
      <c r="E1416">
        <f>IFERROR(VLOOKUP(C1416,'LEAID Match'!$A$2:$B$214,2,FALSE),"")</f>
        <v>5006630</v>
      </c>
      <c r="F1416">
        <f t="shared" si="11"/>
        <v>8</v>
      </c>
    </row>
    <row r="1417" spans="1:6">
      <c r="A1417">
        <v>5006600</v>
      </c>
      <c r="B1417">
        <v>2015</v>
      </c>
      <c r="C1417" s="10" t="s">
        <v>119</v>
      </c>
      <c r="D1417" s="15">
        <v>273651.42</v>
      </c>
      <c r="E1417">
        <f>IFERROR(VLOOKUP(C1417,'LEAID Match'!$A$2:$B$214,2,FALSE),"")</f>
        <v>5006600</v>
      </c>
      <c r="F1417">
        <f t="shared" si="11"/>
        <v>8</v>
      </c>
    </row>
    <row r="1418" spans="1:6">
      <c r="A1418">
        <v>5006600</v>
      </c>
      <c r="B1418">
        <v>2016</v>
      </c>
      <c r="C1418" s="10" t="s">
        <v>119</v>
      </c>
      <c r="D1418" s="15">
        <v>271249.88</v>
      </c>
      <c r="E1418">
        <f>IFERROR(VLOOKUP(C1418,'LEAID Match'!$A$2:$B$214,2,FALSE),"")</f>
        <v>5006600</v>
      </c>
      <c r="F1418">
        <f t="shared" si="11"/>
        <v>8</v>
      </c>
    </row>
    <row r="1419" spans="1:6">
      <c r="A1419">
        <v>5006600</v>
      </c>
      <c r="B1419">
        <v>2017</v>
      </c>
      <c r="C1419" s="10" t="s">
        <v>119</v>
      </c>
      <c r="D1419" s="15">
        <v>294868</v>
      </c>
      <c r="E1419">
        <f>IFERROR(VLOOKUP(C1419,'LEAID Match'!$A$2:$B$214,2,FALSE),"")</f>
        <v>5006600</v>
      </c>
      <c r="F1419">
        <f t="shared" si="11"/>
        <v>8</v>
      </c>
    </row>
    <row r="1420" spans="1:6">
      <c r="A1420">
        <v>5006600</v>
      </c>
      <c r="B1420">
        <v>2018</v>
      </c>
      <c r="C1420" s="10" t="s">
        <v>119</v>
      </c>
      <c r="D1420" s="15">
        <v>420344</v>
      </c>
      <c r="E1420">
        <f>IFERROR(VLOOKUP(C1420,'LEAID Match'!$A$2:$B$214,2,FALSE),"")</f>
        <v>5006600</v>
      </c>
      <c r="F1420">
        <f t="shared" si="11"/>
        <v>8</v>
      </c>
    </row>
    <row r="1421" spans="1:6">
      <c r="A1421">
        <v>5006600</v>
      </c>
      <c r="B1421">
        <v>2019</v>
      </c>
      <c r="C1421" s="10" t="s">
        <v>119</v>
      </c>
      <c r="D1421" s="15">
        <v>0</v>
      </c>
      <c r="E1421">
        <f>IFERROR(VLOOKUP(C1421,'LEAID Match'!$A$2:$B$214,2,FALSE),"")</f>
        <v>5006600</v>
      </c>
      <c r="F1421">
        <f t="shared" si="11"/>
        <v>8</v>
      </c>
    </row>
    <row r="1422" spans="1:6">
      <c r="A1422">
        <v>5006600</v>
      </c>
      <c r="B1422">
        <v>2020</v>
      </c>
      <c r="C1422" s="10" t="s">
        <v>119</v>
      </c>
      <c r="D1422" s="15">
        <v>0</v>
      </c>
      <c r="E1422">
        <f>IFERROR(VLOOKUP(C1422,'LEAID Match'!$A$2:$B$214,2,FALSE),"")</f>
        <v>5006600</v>
      </c>
      <c r="F1422">
        <f t="shared" si="11"/>
        <v>8</v>
      </c>
    </row>
    <row r="1423" spans="1:6">
      <c r="A1423">
        <v>5006600</v>
      </c>
      <c r="B1423">
        <v>2021</v>
      </c>
      <c r="C1423" s="10" t="s">
        <v>119</v>
      </c>
      <c r="D1423" s="15">
        <v>0</v>
      </c>
      <c r="E1423">
        <f>IFERROR(VLOOKUP(C1423,'LEAID Match'!$A$2:$B$214,2,FALSE),"")</f>
        <v>5006600</v>
      </c>
      <c r="F1423">
        <f t="shared" si="11"/>
        <v>8</v>
      </c>
    </row>
    <row r="1424" spans="1:6">
      <c r="A1424">
        <v>5006600</v>
      </c>
      <c r="B1424">
        <v>2022</v>
      </c>
      <c r="C1424" s="10" t="s">
        <v>119</v>
      </c>
      <c r="D1424" s="15">
        <v>0</v>
      </c>
      <c r="E1424">
        <f>IFERROR(VLOOKUP(C1424,'LEAID Match'!$A$2:$B$214,2,FALSE),"")</f>
        <v>5006600</v>
      </c>
      <c r="F1424">
        <f t="shared" si="11"/>
        <v>8</v>
      </c>
    </row>
    <row r="1425" spans="1:6">
      <c r="A1425">
        <v>5006390</v>
      </c>
      <c r="B1425">
        <v>2015</v>
      </c>
      <c r="C1425" s="10" t="s">
        <v>116</v>
      </c>
      <c r="D1425" s="15">
        <v>45848.07</v>
      </c>
      <c r="E1425">
        <f>IFERROR(VLOOKUP(C1425,'LEAID Match'!$A$2:$B$214,2,FALSE),"")</f>
        <v>5006390</v>
      </c>
      <c r="F1425">
        <f t="shared" si="11"/>
        <v>8</v>
      </c>
    </row>
    <row r="1426" spans="1:6">
      <c r="A1426">
        <v>5006390</v>
      </c>
      <c r="B1426">
        <v>2016</v>
      </c>
      <c r="C1426" s="10" t="s">
        <v>116</v>
      </c>
      <c r="D1426" s="15">
        <v>46819.93</v>
      </c>
      <c r="E1426">
        <f>IFERROR(VLOOKUP(C1426,'LEAID Match'!$A$2:$B$214,2,FALSE),"")</f>
        <v>5006390</v>
      </c>
      <c r="F1426">
        <f t="shared" si="11"/>
        <v>8</v>
      </c>
    </row>
    <row r="1427" spans="1:6">
      <c r="A1427">
        <v>5006390</v>
      </c>
      <c r="B1427">
        <v>2017</v>
      </c>
      <c r="C1427" s="10" t="s">
        <v>116</v>
      </c>
      <c r="D1427" s="15">
        <v>46465</v>
      </c>
      <c r="E1427">
        <f>IFERROR(VLOOKUP(C1427,'LEAID Match'!$A$2:$B$214,2,FALSE),"")</f>
        <v>5006390</v>
      </c>
      <c r="F1427">
        <f t="shared" si="11"/>
        <v>8</v>
      </c>
    </row>
    <row r="1428" spans="1:6">
      <c r="A1428">
        <v>5006390</v>
      </c>
      <c r="B1428">
        <v>2018</v>
      </c>
      <c r="C1428" s="10" t="s">
        <v>116</v>
      </c>
      <c r="D1428" s="15">
        <v>71037</v>
      </c>
      <c r="E1428">
        <f>IFERROR(VLOOKUP(C1428,'LEAID Match'!$A$2:$B$214,2,FALSE),"")</f>
        <v>5006390</v>
      </c>
      <c r="F1428">
        <f t="shared" si="11"/>
        <v>8</v>
      </c>
    </row>
    <row r="1429" spans="1:6">
      <c r="A1429">
        <v>5006390</v>
      </c>
      <c r="B1429">
        <v>2019</v>
      </c>
      <c r="C1429" s="10" t="s">
        <v>116</v>
      </c>
      <c r="D1429" s="15">
        <v>83779</v>
      </c>
      <c r="E1429">
        <f>IFERROR(VLOOKUP(C1429,'LEAID Match'!$A$2:$B$214,2,FALSE),"")</f>
        <v>5006390</v>
      </c>
      <c r="F1429">
        <f t="shared" si="11"/>
        <v>8</v>
      </c>
    </row>
    <row r="1430" spans="1:6">
      <c r="A1430">
        <v>5006390</v>
      </c>
      <c r="B1430">
        <v>2020</v>
      </c>
      <c r="C1430" s="10" t="s">
        <v>116</v>
      </c>
      <c r="D1430" s="15">
        <v>97953</v>
      </c>
      <c r="E1430">
        <f>IFERROR(VLOOKUP(C1430,'LEAID Match'!$A$2:$B$214,2,FALSE),"")</f>
        <v>5006390</v>
      </c>
      <c r="F1430">
        <f t="shared" si="11"/>
        <v>8</v>
      </c>
    </row>
    <row r="1431" spans="1:6">
      <c r="A1431">
        <v>5006390</v>
      </c>
      <c r="B1431">
        <v>2021</v>
      </c>
      <c r="C1431" s="10" t="s">
        <v>116</v>
      </c>
      <c r="D1431" s="15">
        <v>81639</v>
      </c>
      <c r="E1431">
        <f>IFERROR(VLOOKUP(C1431,'LEAID Match'!$A$2:$B$214,2,FALSE),"")</f>
        <v>5006390</v>
      </c>
      <c r="F1431">
        <f t="shared" si="11"/>
        <v>8</v>
      </c>
    </row>
    <row r="1432" spans="1:6">
      <c r="A1432">
        <v>5006390</v>
      </c>
      <c r="B1432">
        <v>2022</v>
      </c>
      <c r="C1432" s="10" t="s">
        <v>116</v>
      </c>
      <c r="D1432" s="15">
        <v>223693</v>
      </c>
      <c r="E1432">
        <f>IFERROR(VLOOKUP(C1432,'LEAID Match'!$A$2:$B$214,2,FALSE),"")</f>
        <v>5006390</v>
      </c>
      <c r="F1432">
        <f t="shared" si="11"/>
        <v>8</v>
      </c>
    </row>
    <row r="1433" spans="1:6">
      <c r="A1433">
        <v>5006270</v>
      </c>
      <c r="B1433">
        <v>2015</v>
      </c>
      <c r="C1433" s="10" t="s">
        <v>114</v>
      </c>
      <c r="D1433" s="15">
        <v>65165.279999999999</v>
      </c>
      <c r="E1433">
        <f>IFERROR(VLOOKUP(C1433,'LEAID Match'!$A$2:$B$214,2,FALSE),"")</f>
        <v>5006270</v>
      </c>
      <c r="F1433">
        <f t="shared" si="11"/>
        <v>8</v>
      </c>
    </row>
    <row r="1434" spans="1:6">
      <c r="A1434">
        <v>5006270</v>
      </c>
      <c r="B1434">
        <v>2016</v>
      </c>
      <c r="C1434" s="10" t="s">
        <v>114</v>
      </c>
      <c r="D1434" s="15">
        <v>70343.33</v>
      </c>
      <c r="E1434">
        <f>IFERROR(VLOOKUP(C1434,'LEAID Match'!$A$2:$B$214,2,FALSE),"")</f>
        <v>5006270</v>
      </c>
      <c r="F1434">
        <f t="shared" si="11"/>
        <v>8</v>
      </c>
    </row>
    <row r="1435" spans="1:6">
      <c r="A1435">
        <v>5006270</v>
      </c>
      <c r="B1435">
        <v>2017</v>
      </c>
      <c r="C1435" s="10" t="s">
        <v>114</v>
      </c>
      <c r="D1435" s="15">
        <v>77159</v>
      </c>
      <c r="E1435">
        <f>IFERROR(VLOOKUP(C1435,'LEAID Match'!$A$2:$B$214,2,FALSE),"")</f>
        <v>5006270</v>
      </c>
      <c r="F1435">
        <f t="shared" si="11"/>
        <v>8</v>
      </c>
    </row>
    <row r="1436" spans="1:6">
      <c r="A1436">
        <v>5006270</v>
      </c>
      <c r="B1436">
        <v>2018</v>
      </c>
      <c r="C1436" s="10" t="s">
        <v>114</v>
      </c>
      <c r="D1436" s="15">
        <v>103868</v>
      </c>
      <c r="E1436">
        <f>IFERROR(VLOOKUP(C1436,'LEAID Match'!$A$2:$B$214,2,FALSE),"")</f>
        <v>5006270</v>
      </c>
      <c r="F1436">
        <f t="shared" si="11"/>
        <v>8</v>
      </c>
    </row>
    <row r="1437" spans="1:6">
      <c r="A1437">
        <v>5006270</v>
      </c>
      <c r="B1437">
        <v>2019</v>
      </c>
      <c r="C1437" s="10" t="s">
        <v>114</v>
      </c>
      <c r="D1437" s="15">
        <v>111275</v>
      </c>
      <c r="E1437">
        <f>IFERROR(VLOOKUP(C1437,'LEAID Match'!$A$2:$B$214,2,FALSE),"")</f>
        <v>5006270</v>
      </c>
      <c r="F1437">
        <f t="shared" si="11"/>
        <v>8</v>
      </c>
    </row>
    <row r="1438" spans="1:6">
      <c r="A1438">
        <v>5006270</v>
      </c>
      <c r="B1438">
        <v>2020</v>
      </c>
      <c r="C1438" s="10" t="s">
        <v>114</v>
      </c>
      <c r="D1438" s="15">
        <v>0</v>
      </c>
      <c r="E1438">
        <f>IFERROR(VLOOKUP(C1438,'LEAID Match'!$A$2:$B$214,2,FALSE),"")</f>
        <v>5006270</v>
      </c>
      <c r="F1438">
        <f t="shared" si="11"/>
        <v>8</v>
      </c>
    </row>
    <row r="1439" spans="1:6">
      <c r="A1439">
        <v>5006270</v>
      </c>
      <c r="B1439">
        <v>2021</v>
      </c>
      <c r="C1439" s="10" t="s">
        <v>114</v>
      </c>
      <c r="D1439" s="15">
        <v>0</v>
      </c>
      <c r="E1439">
        <f>IFERROR(VLOOKUP(C1439,'LEAID Match'!$A$2:$B$214,2,FALSE),"")</f>
        <v>5006270</v>
      </c>
      <c r="F1439">
        <f t="shared" si="11"/>
        <v>8</v>
      </c>
    </row>
    <row r="1440" spans="1:6">
      <c r="A1440">
        <v>5006270</v>
      </c>
      <c r="B1440">
        <v>2022</v>
      </c>
      <c r="C1440" s="10" t="s">
        <v>114</v>
      </c>
      <c r="D1440" s="15">
        <v>0</v>
      </c>
      <c r="E1440">
        <f>IFERROR(VLOOKUP(C1440,'LEAID Match'!$A$2:$B$214,2,FALSE),"")</f>
        <v>5006270</v>
      </c>
      <c r="F1440">
        <f t="shared" si="11"/>
        <v>8</v>
      </c>
    </row>
    <row r="1441" spans="1:6">
      <c r="A1441">
        <v>5006240</v>
      </c>
      <c r="B1441">
        <v>2015</v>
      </c>
      <c r="C1441" s="10" t="s">
        <v>113</v>
      </c>
      <c r="D1441" s="15">
        <v>69456.47</v>
      </c>
      <c r="E1441">
        <f>IFERROR(VLOOKUP(C1441,'LEAID Match'!$A$2:$B$214,2,FALSE),"")</f>
        <v>5006240</v>
      </c>
      <c r="F1441">
        <f t="shared" si="11"/>
        <v>8</v>
      </c>
    </row>
    <row r="1442" spans="1:6">
      <c r="A1442">
        <v>5006240</v>
      </c>
      <c r="B1442">
        <v>2016</v>
      </c>
      <c r="C1442" s="10" t="s">
        <v>113</v>
      </c>
      <c r="D1442" s="15">
        <v>63000.98</v>
      </c>
      <c r="E1442">
        <f>IFERROR(VLOOKUP(C1442,'LEAID Match'!$A$2:$B$214,2,FALSE),"")</f>
        <v>5006240</v>
      </c>
      <c r="F1442">
        <f t="shared" si="11"/>
        <v>8</v>
      </c>
    </row>
    <row r="1443" spans="1:6">
      <c r="A1443">
        <v>5006240</v>
      </c>
      <c r="B1443">
        <v>2017</v>
      </c>
      <c r="C1443" s="10" t="s">
        <v>113</v>
      </c>
      <c r="D1443" s="15">
        <v>68866</v>
      </c>
      <c r="E1443">
        <f>IFERROR(VLOOKUP(C1443,'LEAID Match'!$A$2:$B$214,2,FALSE),"")</f>
        <v>5006240</v>
      </c>
      <c r="F1443">
        <f t="shared" si="11"/>
        <v>8</v>
      </c>
    </row>
    <row r="1444" spans="1:6">
      <c r="A1444">
        <v>5006240</v>
      </c>
      <c r="B1444">
        <v>2018</v>
      </c>
      <c r="C1444" s="10" t="s">
        <v>113</v>
      </c>
      <c r="D1444" s="15">
        <v>89456</v>
      </c>
      <c r="E1444">
        <f>IFERROR(VLOOKUP(C1444,'LEAID Match'!$A$2:$B$214,2,FALSE),"")</f>
        <v>5006240</v>
      </c>
      <c r="F1444">
        <f t="shared" si="11"/>
        <v>8</v>
      </c>
    </row>
    <row r="1445" spans="1:6">
      <c r="A1445">
        <v>5006240</v>
      </c>
      <c r="B1445">
        <v>2019</v>
      </c>
      <c r="C1445" s="10" t="s">
        <v>113</v>
      </c>
      <c r="D1445" s="15">
        <v>92091</v>
      </c>
      <c r="E1445">
        <f>IFERROR(VLOOKUP(C1445,'LEAID Match'!$A$2:$B$214,2,FALSE),"")</f>
        <v>5006240</v>
      </c>
      <c r="F1445">
        <f t="shared" si="11"/>
        <v>8</v>
      </c>
    </row>
    <row r="1446" spans="1:6">
      <c r="A1446">
        <v>5006240</v>
      </c>
      <c r="B1446">
        <v>2020</v>
      </c>
      <c r="C1446" s="10" t="s">
        <v>113</v>
      </c>
      <c r="D1446" s="15">
        <v>0</v>
      </c>
      <c r="E1446">
        <f>IFERROR(VLOOKUP(C1446,'LEAID Match'!$A$2:$B$214,2,FALSE),"")</f>
        <v>5006240</v>
      </c>
      <c r="F1446">
        <f t="shared" si="11"/>
        <v>8</v>
      </c>
    </row>
    <row r="1447" spans="1:6">
      <c r="A1447">
        <v>5006240</v>
      </c>
      <c r="B1447">
        <v>2021</v>
      </c>
      <c r="C1447" s="10" t="s">
        <v>113</v>
      </c>
      <c r="D1447" s="15">
        <v>0</v>
      </c>
      <c r="E1447">
        <f>IFERROR(VLOOKUP(C1447,'LEAID Match'!$A$2:$B$214,2,FALSE),"")</f>
        <v>5006240</v>
      </c>
      <c r="F1447">
        <f t="shared" si="11"/>
        <v>8</v>
      </c>
    </row>
    <row r="1448" spans="1:6">
      <c r="A1448">
        <v>5006240</v>
      </c>
      <c r="B1448">
        <v>2022</v>
      </c>
      <c r="C1448" s="10" t="s">
        <v>113</v>
      </c>
      <c r="D1448" s="15">
        <v>0</v>
      </c>
      <c r="E1448">
        <f>IFERROR(VLOOKUP(C1448,'LEAID Match'!$A$2:$B$214,2,FALSE),"")</f>
        <v>5006240</v>
      </c>
      <c r="F1448">
        <f t="shared" si="11"/>
        <v>8</v>
      </c>
    </row>
    <row r="1449" spans="1:6">
      <c r="A1449">
        <v>5006210</v>
      </c>
      <c r="B1449">
        <v>2015</v>
      </c>
      <c r="C1449" s="10" t="s">
        <v>112</v>
      </c>
      <c r="D1449" s="15">
        <v>78174.02</v>
      </c>
      <c r="E1449">
        <f>IFERROR(VLOOKUP(C1449,'LEAID Match'!$A$2:$B$214,2,FALSE),"")</f>
        <v>5006210</v>
      </c>
      <c r="F1449">
        <f t="shared" si="11"/>
        <v>8</v>
      </c>
    </row>
    <row r="1450" spans="1:6">
      <c r="A1450">
        <v>5006210</v>
      </c>
      <c r="B1450">
        <v>2016</v>
      </c>
      <c r="C1450" s="10" t="s">
        <v>112</v>
      </c>
      <c r="D1450" s="15">
        <v>69035.72</v>
      </c>
      <c r="E1450">
        <f>IFERROR(VLOOKUP(C1450,'LEAID Match'!$A$2:$B$214,2,FALSE),"")</f>
        <v>5006210</v>
      </c>
      <c r="F1450">
        <f t="shared" si="11"/>
        <v>8</v>
      </c>
    </row>
    <row r="1451" spans="1:6">
      <c r="A1451">
        <v>5006210</v>
      </c>
      <c r="B1451">
        <v>2017</v>
      </c>
      <c r="C1451" s="10" t="s">
        <v>112</v>
      </c>
      <c r="D1451" s="15">
        <v>78037</v>
      </c>
      <c r="E1451">
        <f>IFERROR(VLOOKUP(C1451,'LEAID Match'!$A$2:$B$214,2,FALSE),"")</f>
        <v>5006210</v>
      </c>
      <c r="F1451">
        <f t="shared" si="11"/>
        <v>8</v>
      </c>
    </row>
    <row r="1452" spans="1:6">
      <c r="A1452">
        <v>5006210</v>
      </c>
      <c r="B1452">
        <v>2018</v>
      </c>
      <c r="C1452" s="10" t="s">
        <v>112</v>
      </c>
      <c r="D1452" s="15">
        <v>105155</v>
      </c>
      <c r="E1452">
        <f>IFERROR(VLOOKUP(C1452,'LEAID Match'!$A$2:$B$214,2,FALSE),"")</f>
        <v>5006210</v>
      </c>
      <c r="F1452">
        <f t="shared" si="11"/>
        <v>8</v>
      </c>
    </row>
    <row r="1453" spans="1:6">
      <c r="A1453">
        <v>5006210</v>
      </c>
      <c r="B1453">
        <v>2019</v>
      </c>
      <c r="C1453" s="10" t="s">
        <v>112</v>
      </c>
      <c r="D1453" s="15">
        <v>0</v>
      </c>
      <c r="E1453">
        <f>IFERROR(VLOOKUP(C1453,'LEAID Match'!$A$2:$B$214,2,FALSE),"")</f>
        <v>5006210</v>
      </c>
      <c r="F1453">
        <f t="shared" si="11"/>
        <v>8</v>
      </c>
    </row>
    <row r="1454" spans="1:6">
      <c r="A1454">
        <v>5006210</v>
      </c>
      <c r="B1454">
        <v>2020</v>
      </c>
      <c r="C1454" s="10" t="s">
        <v>112</v>
      </c>
      <c r="D1454" s="15">
        <v>0</v>
      </c>
      <c r="E1454">
        <f>IFERROR(VLOOKUP(C1454,'LEAID Match'!$A$2:$B$214,2,FALSE),"")</f>
        <v>5006210</v>
      </c>
      <c r="F1454">
        <f t="shared" si="11"/>
        <v>8</v>
      </c>
    </row>
    <row r="1455" spans="1:6">
      <c r="A1455">
        <v>5006210</v>
      </c>
      <c r="B1455">
        <v>2021</v>
      </c>
      <c r="C1455" s="10" t="s">
        <v>112</v>
      </c>
      <c r="D1455" s="15">
        <v>0</v>
      </c>
      <c r="E1455">
        <f>IFERROR(VLOOKUP(C1455,'LEAID Match'!$A$2:$B$214,2,FALSE),"")</f>
        <v>5006210</v>
      </c>
      <c r="F1455">
        <f t="shared" si="11"/>
        <v>8</v>
      </c>
    </row>
    <row r="1456" spans="1:6">
      <c r="A1456">
        <v>5006210</v>
      </c>
      <c r="B1456">
        <v>2022</v>
      </c>
      <c r="C1456" s="10" t="s">
        <v>112</v>
      </c>
      <c r="D1456" s="15">
        <v>0</v>
      </c>
      <c r="E1456">
        <f>IFERROR(VLOOKUP(C1456,'LEAID Match'!$A$2:$B$214,2,FALSE),"")</f>
        <v>5006210</v>
      </c>
      <c r="F1456">
        <f t="shared" si="11"/>
        <v>8</v>
      </c>
    </row>
    <row r="1457" spans="1:6">
      <c r="A1457">
        <v>5006180</v>
      </c>
      <c r="B1457">
        <v>2015</v>
      </c>
      <c r="C1457" s="10" t="s">
        <v>111</v>
      </c>
      <c r="D1457" s="15">
        <v>289145.71000000002</v>
      </c>
      <c r="E1457">
        <f>IFERROR(VLOOKUP(C1457,'LEAID Match'!$A$2:$B$214,2,FALSE),"")</f>
        <v>5006180</v>
      </c>
      <c r="F1457">
        <f t="shared" si="11"/>
        <v>8</v>
      </c>
    </row>
    <row r="1458" spans="1:6">
      <c r="A1458">
        <v>5006180</v>
      </c>
      <c r="B1458">
        <v>2016</v>
      </c>
      <c r="C1458" s="10" t="s">
        <v>111</v>
      </c>
      <c r="D1458" s="15">
        <v>272807.71000000002</v>
      </c>
      <c r="E1458">
        <f>IFERROR(VLOOKUP(C1458,'LEAID Match'!$A$2:$B$214,2,FALSE),"")</f>
        <v>5006180</v>
      </c>
      <c r="F1458">
        <f t="shared" si="11"/>
        <v>8</v>
      </c>
    </row>
    <row r="1459" spans="1:6">
      <c r="A1459">
        <v>5006180</v>
      </c>
      <c r="B1459">
        <v>2017</v>
      </c>
      <c r="C1459" s="10" t="s">
        <v>111</v>
      </c>
      <c r="D1459" s="15">
        <v>294092</v>
      </c>
      <c r="E1459">
        <f>IFERROR(VLOOKUP(C1459,'LEAID Match'!$A$2:$B$214,2,FALSE),"")</f>
        <v>5006180</v>
      </c>
      <c r="F1459">
        <f t="shared" si="11"/>
        <v>8</v>
      </c>
    </row>
    <row r="1460" spans="1:6">
      <c r="A1460">
        <v>5006180</v>
      </c>
      <c r="B1460">
        <v>2018</v>
      </c>
      <c r="C1460" s="10" t="s">
        <v>111</v>
      </c>
      <c r="D1460" s="15">
        <v>417908</v>
      </c>
      <c r="E1460">
        <f>IFERROR(VLOOKUP(C1460,'LEAID Match'!$A$2:$B$214,2,FALSE),"")</f>
        <v>5006180</v>
      </c>
      <c r="F1460">
        <f t="shared" si="11"/>
        <v>8</v>
      </c>
    </row>
    <row r="1461" spans="1:6">
      <c r="A1461">
        <v>5006180</v>
      </c>
      <c r="B1461">
        <v>2019</v>
      </c>
      <c r="C1461" s="10" t="s">
        <v>111</v>
      </c>
      <c r="D1461" s="15">
        <v>415030</v>
      </c>
      <c r="E1461">
        <f>IFERROR(VLOOKUP(C1461,'LEAID Match'!$A$2:$B$214,2,FALSE),"")</f>
        <v>5006180</v>
      </c>
      <c r="F1461">
        <f t="shared" si="11"/>
        <v>8</v>
      </c>
    </row>
    <row r="1462" spans="1:6">
      <c r="A1462">
        <v>5006180</v>
      </c>
      <c r="B1462">
        <v>2020</v>
      </c>
      <c r="C1462" s="10" t="s">
        <v>111</v>
      </c>
      <c r="D1462" s="15">
        <v>442162</v>
      </c>
      <c r="E1462">
        <f>IFERROR(VLOOKUP(C1462,'LEAID Match'!$A$2:$B$214,2,FALSE),"")</f>
        <v>5006180</v>
      </c>
      <c r="F1462">
        <f t="shared" si="11"/>
        <v>8</v>
      </c>
    </row>
    <row r="1463" spans="1:6">
      <c r="A1463">
        <v>5006180</v>
      </c>
      <c r="B1463">
        <v>2021</v>
      </c>
      <c r="C1463" s="10" t="s">
        <v>111</v>
      </c>
      <c r="D1463" s="15">
        <v>498782</v>
      </c>
      <c r="E1463">
        <f>IFERROR(VLOOKUP(C1463,'LEAID Match'!$A$2:$B$214,2,FALSE),"")</f>
        <v>5006180</v>
      </c>
      <c r="F1463">
        <f t="shared" si="11"/>
        <v>8</v>
      </c>
    </row>
    <row r="1464" spans="1:6">
      <c r="A1464">
        <v>5006180</v>
      </c>
      <c r="B1464">
        <v>2022</v>
      </c>
      <c r="C1464" s="10" t="s">
        <v>111</v>
      </c>
      <c r="D1464" s="15">
        <v>1247910</v>
      </c>
      <c r="E1464">
        <f>IFERROR(VLOOKUP(C1464,'LEAID Match'!$A$2:$B$214,2,FALSE),"")</f>
        <v>5006180</v>
      </c>
      <c r="F1464">
        <f t="shared" si="11"/>
        <v>8</v>
      </c>
    </row>
    <row r="1465" spans="1:6">
      <c r="A1465">
        <v>5006120</v>
      </c>
      <c r="B1465">
        <v>2015</v>
      </c>
      <c r="C1465" s="10" t="s">
        <v>110</v>
      </c>
      <c r="D1465" s="15">
        <v>390159.57</v>
      </c>
      <c r="E1465">
        <f>IFERROR(VLOOKUP(C1465,'LEAID Match'!$A$2:$B$214,2,FALSE),"")</f>
        <v>5006120</v>
      </c>
      <c r="F1465">
        <f t="shared" si="11"/>
        <v>8</v>
      </c>
    </row>
    <row r="1466" spans="1:6">
      <c r="A1466">
        <v>5006120</v>
      </c>
      <c r="B1466">
        <v>2016</v>
      </c>
      <c r="C1466" s="10" t="s">
        <v>110</v>
      </c>
      <c r="D1466" s="15">
        <v>356888.62</v>
      </c>
      <c r="E1466">
        <f>IFERROR(VLOOKUP(C1466,'LEAID Match'!$A$2:$B$214,2,FALSE),"")</f>
        <v>5006120</v>
      </c>
      <c r="F1466">
        <f t="shared" si="11"/>
        <v>8</v>
      </c>
    </row>
    <row r="1467" spans="1:6">
      <c r="A1467">
        <v>5006120</v>
      </c>
      <c r="B1467">
        <v>2017</v>
      </c>
      <c r="C1467" s="10" t="s">
        <v>110</v>
      </c>
      <c r="D1467" s="15">
        <v>389599</v>
      </c>
      <c r="E1467">
        <f>IFERROR(VLOOKUP(C1467,'LEAID Match'!$A$2:$B$214,2,FALSE),"")</f>
        <v>5006120</v>
      </c>
      <c r="F1467">
        <f t="shared" si="11"/>
        <v>8</v>
      </c>
    </row>
    <row r="1468" spans="1:6">
      <c r="A1468">
        <v>5006120</v>
      </c>
      <c r="B1468">
        <v>2018</v>
      </c>
      <c r="C1468" s="10" t="s">
        <v>110</v>
      </c>
      <c r="D1468" s="15">
        <v>576926</v>
      </c>
      <c r="E1468">
        <f>IFERROR(VLOOKUP(C1468,'LEAID Match'!$A$2:$B$214,2,FALSE),"")</f>
        <v>5006120</v>
      </c>
      <c r="F1468">
        <f t="shared" si="11"/>
        <v>8</v>
      </c>
    </row>
    <row r="1469" spans="1:6">
      <c r="A1469">
        <v>5006120</v>
      </c>
      <c r="B1469">
        <v>2019</v>
      </c>
      <c r="C1469" s="10" t="s">
        <v>110</v>
      </c>
      <c r="D1469" s="15">
        <v>0</v>
      </c>
      <c r="E1469">
        <f>IFERROR(VLOOKUP(C1469,'LEAID Match'!$A$2:$B$214,2,FALSE),"")</f>
        <v>5006120</v>
      </c>
      <c r="F1469">
        <f t="shared" si="11"/>
        <v>8</v>
      </c>
    </row>
    <row r="1470" spans="1:6">
      <c r="A1470">
        <v>5006120</v>
      </c>
      <c r="B1470">
        <v>2020</v>
      </c>
      <c r="C1470" s="10" t="s">
        <v>110</v>
      </c>
      <c r="D1470" s="15">
        <v>0</v>
      </c>
      <c r="E1470">
        <f>IFERROR(VLOOKUP(C1470,'LEAID Match'!$A$2:$B$214,2,FALSE),"")</f>
        <v>5006120</v>
      </c>
      <c r="F1470">
        <f t="shared" si="11"/>
        <v>8</v>
      </c>
    </row>
    <row r="1471" spans="1:6">
      <c r="A1471">
        <v>5006120</v>
      </c>
      <c r="B1471">
        <v>2021</v>
      </c>
      <c r="C1471" s="10" t="s">
        <v>110</v>
      </c>
      <c r="D1471" s="15">
        <v>0</v>
      </c>
      <c r="E1471">
        <f>IFERROR(VLOOKUP(C1471,'LEAID Match'!$A$2:$B$214,2,FALSE),"")</f>
        <v>5006120</v>
      </c>
      <c r="F1471">
        <f t="shared" si="11"/>
        <v>8</v>
      </c>
    </row>
    <row r="1472" spans="1:6">
      <c r="A1472">
        <v>5006120</v>
      </c>
      <c r="B1472">
        <v>2022</v>
      </c>
      <c r="C1472" s="10" t="s">
        <v>110</v>
      </c>
      <c r="D1472" s="15">
        <v>0</v>
      </c>
      <c r="E1472">
        <f>IFERROR(VLOOKUP(C1472,'LEAID Match'!$A$2:$B$214,2,FALSE),"")</f>
        <v>5006120</v>
      </c>
      <c r="F1472">
        <f t="shared" si="11"/>
        <v>8</v>
      </c>
    </row>
    <row r="1473" spans="1:6">
      <c r="A1473">
        <v>5006090</v>
      </c>
      <c r="B1473">
        <v>2015</v>
      </c>
      <c r="C1473" s="10" t="s">
        <v>109</v>
      </c>
      <c r="D1473" s="15">
        <v>48528.41</v>
      </c>
      <c r="E1473">
        <f>IFERROR(VLOOKUP(C1473,'LEAID Match'!$A$2:$B$214,2,FALSE),"")</f>
        <v>5006090</v>
      </c>
      <c r="F1473">
        <f t="shared" si="11"/>
        <v>8</v>
      </c>
    </row>
    <row r="1474" spans="1:6">
      <c r="A1474">
        <v>5006090</v>
      </c>
      <c r="B1474">
        <v>2016</v>
      </c>
      <c r="C1474" s="10" t="s">
        <v>109</v>
      </c>
      <c r="D1474" s="15">
        <v>45997.48</v>
      </c>
      <c r="E1474">
        <f>IFERROR(VLOOKUP(C1474,'LEAID Match'!$A$2:$B$214,2,FALSE),"")</f>
        <v>5006090</v>
      </c>
      <c r="F1474">
        <f t="shared" ref="F1474:F1537" si="12">COUNTIF($A$705:$A$2272,A1474)</f>
        <v>8</v>
      </c>
    </row>
    <row r="1475" spans="1:6">
      <c r="A1475">
        <v>5006090</v>
      </c>
      <c r="B1475">
        <v>2017</v>
      </c>
      <c r="C1475" s="10" t="s">
        <v>109</v>
      </c>
      <c r="D1475" s="15">
        <v>37844</v>
      </c>
      <c r="E1475">
        <f>IFERROR(VLOOKUP(C1475,'LEAID Match'!$A$2:$B$214,2,FALSE),"")</f>
        <v>5006090</v>
      </c>
      <c r="F1475">
        <f t="shared" si="12"/>
        <v>8</v>
      </c>
    </row>
    <row r="1476" spans="1:6">
      <c r="A1476">
        <v>5006090</v>
      </c>
      <c r="B1476">
        <v>2018</v>
      </c>
      <c r="C1476" s="10" t="s">
        <v>109</v>
      </c>
      <c r="D1476" s="15">
        <v>53437</v>
      </c>
      <c r="E1476">
        <f>IFERROR(VLOOKUP(C1476,'LEAID Match'!$A$2:$B$214,2,FALSE),"")</f>
        <v>5006090</v>
      </c>
      <c r="F1476">
        <f t="shared" si="12"/>
        <v>8</v>
      </c>
    </row>
    <row r="1477" spans="1:6">
      <c r="A1477">
        <v>5006090</v>
      </c>
      <c r="B1477">
        <v>2019</v>
      </c>
      <c r="C1477" s="10" t="s">
        <v>109</v>
      </c>
      <c r="D1477" s="15">
        <v>55889</v>
      </c>
      <c r="E1477">
        <f>IFERROR(VLOOKUP(C1477,'LEAID Match'!$A$2:$B$214,2,FALSE),"")</f>
        <v>5006090</v>
      </c>
      <c r="F1477">
        <f t="shared" si="12"/>
        <v>8</v>
      </c>
    </row>
    <row r="1478" spans="1:6">
      <c r="A1478">
        <v>5006090</v>
      </c>
      <c r="B1478">
        <v>2020</v>
      </c>
      <c r="C1478" s="10" t="s">
        <v>109</v>
      </c>
      <c r="D1478" s="15">
        <v>0</v>
      </c>
      <c r="E1478">
        <f>IFERROR(VLOOKUP(C1478,'LEAID Match'!$A$2:$B$214,2,FALSE),"")</f>
        <v>5006090</v>
      </c>
      <c r="F1478">
        <f t="shared" si="12"/>
        <v>8</v>
      </c>
    </row>
    <row r="1479" spans="1:6">
      <c r="A1479">
        <v>5006090</v>
      </c>
      <c r="B1479">
        <v>2021</v>
      </c>
      <c r="C1479" s="10" t="s">
        <v>109</v>
      </c>
      <c r="D1479" s="15">
        <v>0</v>
      </c>
      <c r="E1479">
        <f>IFERROR(VLOOKUP(C1479,'LEAID Match'!$A$2:$B$214,2,FALSE),"")</f>
        <v>5006090</v>
      </c>
      <c r="F1479">
        <f t="shared" si="12"/>
        <v>8</v>
      </c>
    </row>
    <row r="1480" spans="1:6">
      <c r="A1480">
        <v>5006090</v>
      </c>
      <c r="B1480">
        <v>2022</v>
      </c>
      <c r="C1480" s="10" t="s">
        <v>109</v>
      </c>
      <c r="D1480" s="15">
        <v>0</v>
      </c>
      <c r="E1480">
        <f>IFERROR(VLOOKUP(C1480,'LEAID Match'!$A$2:$B$214,2,FALSE),"")</f>
        <v>5006090</v>
      </c>
      <c r="F1480">
        <f t="shared" si="12"/>
        <v>8</v>
      </c>
    </row>
    <row r="1481" spans="1:6">
      <c r="A1481">
        <v>5006030</v>
      </c>
      <c r="B1481">
        <v>2015</v>
      </c>
      <c r="C1481" s="10" t="s">
        <v>107</v>
      </c>
      <c r="D1481" s="15">
        <v>77007.91</v>
      </c>
      <c r="E1481">
        <f>IFERROR(VLOOKUP(C1481,'LEAID Match'!$A$2:$B$214,2,FALSE),"")</f>
        <v>5006030</v>
      </c>
      <c r="F1481">
        <f t="shared" si="12"/>
        <v>8</v>
      </c>
    </row>
    <row r="1482" spans="1:6">
      <c r="A1482">
        <v>5006030</v>
      </c>
      <c r="B1482">
        <v>2016</v>
      </c>
      <c r="C1482" s="10" t="s">
        <v>107</v>
      </c>
      <c r="D1482" s="15">
        <v>81772.070000000007</v>
      </c>
      <c r="E1482">
        <f>IFERROR(VLOOKUP(C1482,'LEAID Match'!$A$2:$B$214,2,FALSE),"")</f>
        <v>5006030</v>
      </c>
      <c r="F1482">
        <f t="shared" si="12"/>
        <v>8</v>
      </c>
    </row>
    <row r="1483" spans="1:6">
      <c r="A1483">
        <v>5006030</v>
      </c>
      <c r="B1483">
        <v>2017</v>
      </c>
      <c r="C1483" s="10" t="s">
        <v>107</v>
      </c>
      <c r="D1483" s="15">
        <v>78853</v>
      </c>
      <c r="E1483">
        <f>IFERROR(VLOOKUP(C1483,'LEAID Match'!$A$2:$B$214,2,FALSE),"")</f>
        <v>5006030</v>
      </c>
      <c r="F1483">
        <f t="shared" si="12"/>
        <v>8</v>
      </c>
    </row>
    <row r="1484" spans="1:6">
      <c r="A1484">
        <v>5006030</v>
      </c>
      <c r="B1484">
        <v>2018</v>
      </c>
      <c r="C1484" s="10" t="s">
        <v>107</v>
      </c>
      <c r="D1484" s="15">
        <v>114884</v>
      </c>
      <c r="E1484">
        <f>IFERROR(VLOOKUP(C1484,'LEAID Match'!$A$2:$B$214,2,FALSE),"")</f>
        <v>5006030</v>
      </c>
      <c r="F1484">
        <f t="shared" si="12"/>
        <v>8</v>
      </c>
    </row>
    <row r="1485" spans="1:6">
      <c r="A1485">
        <v>5006030</v>
      </c>
      <c r="B1485">
        <v>2019</v>
      </c>
      <c r="C1485" s="10" t="s">
        <v>107</v>
      </c>
      <c r="D1485" s="15">
        <v>109105</v>
      </c>
      <c r="E1485">
        <f>IFERROR(VLOOKUP(C1485,'LEAID Match'!$A$2:$B$214,2,FALSE),"")</f>
        <v>5006030</v>
      </c>
      <c r="F1485">
        <f t="shared" si="12"/>
        <v>8</v>
      </c>
    </row>
    <row r="1486" spans="1:6">
      <c r="A1486">
        <v>5006030</v>
      </c>
      <c r="B1486">
        <v>2020</v>
      </c>
      <c r="C1486" s="10" t="s">
        <v>107</v>
      </c>
      <c r="D1486" s="15">
        <v>115158</v>
      </c>
      <c r="E1486">
        <f>IFERROR(VLOOKUP(C1486,'LEAID Match'!$A$2:$B$214,2,FALSE),"")</f>
        <v>5006030</v>
      </c>
      <c r="F1486">
        <f t="shared" si="12"/>
        <v>8</v>
      </c>
    </row>
    <row r="1487" spans="1:6">
      <c r="A1487">
        <v>5006030</v>
      </c>
      <c r="B1487">
        <v>2021</v>
      </c>
      <c r="C1487" s="10" t="s">
        <v>107</v>
      </c>
      <c r="D1487" s="15">
        <v>124007</v>
      </c>
      <c r="E1487">
        <f>IFERROR(VLOOKUP(C1487,'LEAID Match'!$A$2:$B$214,2,FALSE),"")</f>
        <v>5006030</v>
      </c>
      <c r="F1487">
        <f t="shared" si="12"/>
        <v>8</v>
      </c>
    </row>
    <row r="1488" spans="1:6">
      <c r="A1488">
        <v>5006030</v>
      </c>
      <c r="B1488">
        <v>2022</v>
      </c>
      <c r="C1488" s="10" t="s">
        <v>107</v>
      </c>
      <c r="D1488" s="15">
        <v>302881</v>
      </c>
      <c r="E1488">
        <f>IFERROR(VLOOKUP(C1488,'LEAID Match'!$A$2:$B$214,2,FALSE),"")</f>
        <v>5006030</v>
      </c>
      <c r="F1488">
        <f t="shared" si="12"/>
        <v>8</v>
      </c>
    </row>
    <row r="1489" spans="1:6">
      <c r="A1489">
        <v>5006000</v>
      </c>
      <c r="B1489">
        <v>2015</v>
      </c>
      <c r="C1489" s="10" t="s">
        <v>106</v>
      </c>
      <c r="D1489" s="15">
        <v>224382.69</v>
      </c>
      <c r="E1489">
        <f>IFERROR(VLOOKUP(C1489,'LEAID Match'!$A$2:$B$214,2,FALSE),"")</f>
        <v>5006000</v>
      </c>
      <c r="F1489">
        <f t="shared" si="12"/>
        <v>8</v>
      </c>
    </row>
    <row r="1490" spans="1:6">
      <c r="A1490">
        <v>5006000</v>
      </c>
      <c r="B1490">
        <v>2016</v>
      </c>
      <c r="C1490" s="10" t="s">
        <v>106</v>
      </c>
      <c r="D1490" s="15">
        <v>238104.46</v>
      </c>
      <c r="E1490">
        <f>IFERROR(VLOOKUP(C1490,'LEAID Match'!$A$2:$B$214,2,FALSE),"")</f>
        <v>5006000</v>
      </c>
      <c r="F1490">
        <f t="shared" si="12"/>
        <v>8</v>
      </c>
    </row>
    <row r="1491" spans="1:6">
      <c r="A1491">
        <v>5006000</v>
      </c>
      <c r="B1491">
        <v>2017</v>
      </c>
      <c r="C1491" s="10" t="s">
        <v>106</v>
      </c>
      <c r="D1491" s="15">
        <v>213303</v>
      </c>
      <c r="E1491">
        <f>IFERROR(VLOOKUP(C1491,'LEAID Match'!$A$2:$B$214,2,FALSE),"")</f>
        <v>5006000</v>
      </c>
      <c r="F1491">
        <f t="shared" si="12"/>
        <v>8</v>
      </c>
    </row>
    <row r="1492" spans="1:6">
      <c r="A1492">
        <v>5006000</v>
      </c>
      <c r="B1492">
        <v>2018</v>
      </c>
      <c r="C1492" s="10" t="s">
        <v>106</v>
      </c>
      <c r="D1492" s="15">
        <v>318509</v>
      </c>
      <c r="E1492">
        <f>IFERROR(VLOOKUP(C1492,'LEAID Match'!$A$2:$B$214,2,FALSE),"")</f>
        <v>5006000</v>
      </c>
      <c r="F1492">
        <f t="shared" si="12"/>
        <v>8</v>
      </c>
    </row>
    <row r="1493" spans="1:6">
      <c r="A1493">
        <v>5006000</v>
      </c>
      <c r="B1493">
        <v>2019</v>
      </c>
      <c r="C1493" s="10" t="s">
        <v>106</v>
      </c>
      <c r="D1493" s="15">
        <v>302334</v>
      </c>
      <c r="E1493">
        <f>IFERROR(VLOOKUP(C1493,'LEAID Match'!$A$2:$B$214,2,FALSE),"")</f>
        <v>5006000</v>
      </c>
      <c r="F1493">
        <f t="shared" si="12"/>
        <v>8</v>
      </c>
    </row>
    <row r="1494" spans="1:6">
      <c r="A1494">
        <v>5006000</v>
      </c>
      <c r="B1494">
        <v>2020</v>
      </c>
      <c r="C1494" s="10" t="s">
        <v>106</v>
      </c>
      <c r="D1494" s="15">
        <v>373799</v>
      </c>
      <c r="E1494">
        <f>IFERROR(VLOOKUP(C1494,'LEAID Match'!$A$2:$B$214,2,FALSE),"")</f>
        <v>5006000</v>
      </c>
      <c r="F1494">
        <f t="shared" si="12"/>
        <v>8</v>
      </c>
    </row>
    <row r="1495" spans="1:6">
      <c r="A1495">
        <v>5006000</v>
      </c>
      <c r="B1495">
        <v>2021</v>
      </c>
      <c r="C1495" s="10" t="s">
        <v>106</v>
      </c>
      <c r="D1495" s="15">
        <v>376030</v>
      </c>
      <c r="E1495">
        <f>IFERROR(VLOOKUP(C1495,'LEAID Match'!$A$2:$B$214,2,FALSE),"")</f>
        <v>5006000</v>
      </c>
      <c r="F1495">
        <f t="shared" si="12"/>
        <v>8</v>
      </c>
    </row>
    <row r="1496" spans="1:6">
      <c r="A1496">
        <v>5006000</v>
      </c>
      <c r="B1496">
        <v>2022</v>
      </c>
      <c r="C1496" s="10" t="s">
        <v>106</v>
      </c>
      <c r="D1496" s="15">
        <v>956561</v>
      </c>
      <c r="E1496">
        <f>IFERROR(VLOOKUP(C1496,'LEAID Match'!$A$2:$B$214,2,FALSE),"")</f>
        <v>5006000</v>
      </c>
      <c r="F1496">
        <f t="shared" si="12"/>
        <v>8</v>
      </c>
    </row>
    <row r="1497" spans="1:6">
      <c r="A1497">
        <v>5005940</v>
      </c>
      <c r="B1497">
        <v>2015</v>
      </c>
      <c r="C1497" s="10" t="s">
        <v>104</v>
      </c>
      <c r="D1497" s="15">
        <v>101591.55</v>
      </c>
      <c r="E1497">
        <f>IFERROR(VLOOKUP(C1497,'LEAID Match'!$A$2:$B$214,2,FALSE),"")</f>
        <v>5005940</v>
      </c>
      <c r="F1497">
        <f t="shared" si="12"/>
        <v>8</v>
      </c>
    </row>
    <row r="1498" spans="1:6">
      <c r="A1498">
        <v>5005940</v>
      </c>
      <c r="B1498">
        <v>2016</v>
      </c>
      <c r="C1498" s="10" t="s">
        <v>104</v>
      </c>
      <c r="D1498" s="15">
        <v>97887.679999999993</v>
      </c>
      <c r="E1498">
        <f>IFERROR(VLOOKUP(C1498,'LEAID Match'!$A$2:$B$214,2,FALSE),"")</f>
        <v>5005940</v>
      </c>
      <c r="F1498">
        <f t="shared" si="12"/>
        <v>8</v>
      </c>
    </row>
    <row r="1499" spans="1:6">
      <c r="A1499">
        <v>5005940</v>
      </c>
      <c r="B1499">
        <v>2017</v>
      </c>
      <c r="C1499" s="10" t="s">
        <v>104</v>
      </c>
      <c r="D1499" s="15">
        <v>87617</v>
      </c>
      <c r="E1499">
        <f>IFERROR(VLOOKUP(C1499,'LEAID Match'!$A$2:$B$214,2,FALSE),"")</f>
        <v>5005940</v>
      </c>
      <c r="F1499">
        <f t="shared" si="12"/>
        <v>8</v>
      </c>
    </row>
    <row r="1500" spans="1:6">
      <c r="A1500">
        <v>5005940</v>
      </c>
      <c r="B1500">
        <v>2018</v>
      </c>
      <c r="C1500" s="10" t="s">
        <v>104</v>
      </c>
      <c r="D1500" s="15">
        <v>139566</v>
      </c>
      <c r="E1500">
        <f>IFERROR(VLOOKUP(C1500,'LEAID Match'!$A$2:$B$214,2,FALSE),"")</f>
        <v>5005940</v>
      </c>
      <c r="F1500">
        <f t="shared" si="12"/>
        <v>8</v>
      </c>
    </row>
    <row r="1501" spans="1:6">
      <c r="A1501">
        <v>5005940</v>
      </c>
      <c r="B1501">
        <v>2019</v>
      </c>
      <c r="C1501" s="10" t="s">
        <v>104</v>
      </c>
      <c r="D1501" s="15">
        <v>147318</v>
      </c>
      <c r="E1501">
        <f>IFERROR(VLOOKUP(C1501,'LEAID Match'!$A$2:$B$214,2,FALSE),"")</f>
        <v>5005940</v>
      </c>
      <c r="F1501">
        <f t="shared" si="12"/>
        <v>8</v>
      </c>
    </row>
    <row r="1502" spans="1:6">
      <c r="A1502">
        <v>5005940</v>
      </c>
      <c r="B1502">
        <v>2020</v>
      </c>
      <c r="C1502" s="10" t="s">
        <v>104</v>
      </c>
      <c r="D1502" s="15">
        <v>0</v>
      </c>
      <c r="E1502">
        <f>IFERROR(VLOOKUP(C1502,'LEAID Match'!$A$2:$B$214,2,FALSE),"")</f>
        <v>5005940</v>
      </c>
      <c r="F1502">
        <f t="shared" si="12"/>
        <v>8</v>
      </c>
    </row>
    <row r="1503" spans="1:6">
      <c r="A1503">
        <v>5005940</v>
      </c>
      <c r="B1503">
        <v>2021</v>
      </c>
      <c r="C1503" s="10" t="s">
        <v>104</v>
      </c>
      <c r="D1503" s="15">
        <v>0</v>
      </c>
      <c r="E1503">
        <f>IFERROR(VLOOKUP(C1503,'LEAID Match'!$A$2:$B$214,2,FALSE),"")</f>
        <v>5005940</v>
      </c>
      <c r="F1503">
        <f t="shared" si="12"/>
        <v>8</v>
      </c>
    </row>
    <row r="1504" spans="1:6">
      <c r="A1504">
        <v>5005940</v>
      </c>
      <c r="B1504">
        <v>2022</v>
      </c>
      <c r="C1504" s="10" t="s">
        <v>104</v>
      </c>
      <c r="D1504" s="15">
        <v>0</v>
      </c>
      <c r="E1504">
        <f>IFERROR(VLOOKUP(C1504,'LEAID Match'!$A$2:$B$214,2,FALSE),"")</f>
        <v>5005940</v>
      </c>
      <c r="F1504">
        <f t="shared" si="12"/>
        <v>8</v>
      </c>
    </row>
    <row r="1505" spans="1:6">
      <c r="A1505">
        <v>5005910</v>
      </c>
      <c r="B1505">
        <v>2015</v>
      </c>
      <c r="C1505" s="10" t="s">
        <v>103</v>
      </c>
      <c r="D1505" s="15">
        <v>38747.769999999997</v>
      </c>
      <c r="E1505">
        <f>IFERROR(VLOOKUP(C1505,'LEAID Match'!$A$2:$B$214,2,FALSE),"")</f>
        <v>5005910</v>
      </c>
      <c r="F1505">
        <f t="shared" si="12"/>
        <v>8</v>
      </c>
    </row>
    <row r="1506" spans="1:6">
      <c r="A1506">
        <v>5005910</v>
      </c>
      <c r="B1506">
        <v>2016</v>
      </c>
      <c r="C1506" s="10" t="s">
        <v>103</v>
      </c>
      <c r="D1506" s="15">
        <v>39757.449999999997</v>
      </c>
      <c r="E1506">
        <f>IFERROR(VLOOKUP(C1506,'LEAID Match'!$A$2:$B$214,2,FALSE),"")</f>
        <v>5005910</v>
      </c>
      <c r="F1506">
        <f t="shared" si="12"/>
        <v>8</v>
      </c>
    </row>
    <row r="1507" spans="1:6">
      <c r="A1507">
        <v>5005910</v>
      </c>
      <c r="B1507">
        <v>2017</v>
      </c>
      <c r="C1507" s="10" t="s">
        <v>103</v>
      </c>
      <c r="D1507" s="15">
        <v>45553</v>
      </c>
      <c r="E1507">
        <f>IFERROR(VLOOKUP(C1507,'LEAID Match'!$A$2:$B$214,2,FALSE),"")</f>
        <v>5005910</v>
      </c>
      <c r="F1507">
        <f t="shared" si="12"/>
        <v>8</v>
      </c>
    </row>
    <row r="1508" spans="1:6">
      <c r="A1508">
        <v>5005910</v>
      </c>
      <c r="B1508">
        <v>2018</v>
      </c>
      <c r="C1508" s="10" t="s">
        <v>103</v>
      </c>
      <c r="D1508" s="15">
        <v>63165</v>
      </c>
      <c r="E1508">
        <f>IFERROR(VLOOKUP(C1508,'LEAID Match'!$A$2:$B$214,2,FALSE),"")</f>
        <v>5005910</v>
      </c>
      <c r="F1508">
        <f t="shared" si="12"/>
        <v>8</v>
      </c>
    </row>
    <row r="1509" spans="1:6">
      <c r="A1509">
        <v>5005910</v>
      </c>
      <c r="B1509">
        <v>2019</v>
      </c>
      <c r="C1509" s="10" t="s">
        <v>103</v>
      </c>
      <c r="D1509" s="15">
        <v>0</v>
      </c>
      <c r="E1509">
        <f>IFERROR(VLOOKUP(C1509,'LEAID Match'!$A$2:$B$214,2,FALSE),"")</f>
        <v>5005910</v>
      </c>
      <c r="F1509">
        <f t="shared" si="12"/>
        <v>8</v>
      </c>
    </row>
    <row r="1510" spans="1:6">
      <c r="A1510">
        <v>5005910</v>
      </c>
      <c r="B1510">
        <v>2020</v>
      </c>
      <c r="C1510" s="10" t="s">
        <v>103</v>
      </c>
      <c r="D1510" s="15">
        <v>0</v>
      </c>
      <c r="E1510">
        <f>IFERROR(VLOOKUP(C1510,'LEAID Match'!$A$2:$B$214,2,FALSE),"")</f>
        <v>5005910</v>
      </c>
      <c r="F1510">
        <f t="shared" si="12"/>
        <v>8</v>
      </c>
    </row>
    <row r="1511" spans="1:6">
      <c r="A1511">
        <v>5005910</v>
      </c>
      <c r="B1511">
        <v>2021</v>
      </c>
      <c r="C1511" s="10" t="s">
        <v>103</v>
      </c>
      <c r="D1511" s="15">
        <v>0</v>
      </c>
      <c r="E1511">
        <f>IFERROR(VLOOKUP(C1511,'LEAID Match'!$A$2:$B$214,2,FALSE),"")</f>
        <v>5005910</v>
      </c>
      <c r="F1511">
        <f t="shared" si="12"/>
        <v>8</v>
      </c>
    </row>
    <row r="1512" spans="1:6">
      <c r="A1512">
        <v>5005910</v>
      </c>
      <c r="B1512">
        <v>2022</v>
      </c>
      <c r="C1512" s="10" t="s">
        <v>103</v>
      </c>
      <c r="D1512" s="15">
        <v>0</v>
      </c>
      <c r="E1512">
        <f>IFERROR(VLOOKUP(C1512,'LEAID Match'!$A$2:$B$214,2,FALSE),"")</f>
        <v>5005910</v>
      </c>
      <c r="F1512">
        <f t="shared" si="12"/>
        <v>8</v>
      </c>
    </row>
    <row r="1513" spans="1:6">
      <c r="A1513">
        <v>5005880</v>
      </c>
      <c r="B1513">
        <v>2015</v>
      </c>
      <c r="C1513" s="10" t="s">
        <v>102</v>
      </c>
      <c r="D1513" s="15">
        <v>75194.7</v>
      </c>
      <c r="E1513">
        <f>IFERROR(VLOOKUP(C1513,'LEAID Match'!$A$2:$B$214,2,FALSE),"")</f>
        <v>5005880</v>
      </c>
      <c r="F1513">
        <f t="shared" si="12"/>
        <v>8</v>
      </c>
    </row>
    <row r="1514" spans="1:6">
      <c r="A1514">
        <v>5005880</v>
      </c>
      <c r="B1514">
        <v>2016</v>
      </c>
      <c r="C1514" s="10" t="s">
        <v>102</v>
      </c>
      <c r="D1514" s="15">
        <v>65359.87</v>
      </c>
      <c r="E1514">
        <f>IFERROR(VLOOKUP(C1514,'LEAID Match'!$A$2:$B$214,2,FALSE),"")</f>
        <v>5005880</v>
      </c>
      <c r="F1514">
        <f t="shared" si="12"/>
        <v>8</v>
      </c>
    </row>
    <row r="1515" spans="1:6">
      <c r="A1515">
        <v>5005880</v>
      </c>
      <c r="B1515">
        <v>2017</v>
      </c>
      <c r="C1515" s="10" t="s">
        <v>102</v>
      </c>
      <c r="D1515" s="15">
        <v>76041</v>
      </c>
      <c r="E1515">
        <f>IFERROR(VLOOKUP(C1515,'LEAID Match'!$A$2:$B$214,2,FALSE),"")</f>
        <v>5005880</v>
      </c>
      <c r="F1515">
        <f t="shared" si="12"/>
        <v>8</v>
      </c>
    </row>
    <row r="1516" spans="1:6">
      <c r="A1516">
        <v>5005880</v>
      </c>
      <c r="B1516">
        <v>2018</v>
      </c>
      <c r="C1516" s="10" t="s">
        <v>102</v>
      </c>
      <c r="D1516" s="15">
        <v>92157</v>
      </c>
      <c r="E1516">
        <f>IFERROR(VLOOKUP(C1516,'LEAID Match'!$A$2:$B$214,2,FALSE),"")</f>
        <v>5005880</v>
      </c>
      <c r="F1516">
        <f t="shared" si="12"/>
        <v>8</v>
      </c>
    </row>
    <row r="1517" spans="1:6">
      <c r="A1517">
        <v>5005880</v>
      </c>
      <c r="B1517">
        <v>2019</v>
      </c>
      <c r="C1517" s="10" t="s">
        <v>102</v>
      </c>
      <c r="D1517" s="15">
        <v>0</v>
      </c>
      <c r="E1517">
        <f>IFERROR(VLOOKUP(C1517,'LEAID Match'!$A$2:$B$214,2,FALSE),"")</f>
        <v>5005880</v>
      </c>
      <c r="F1517">
        <f t="shared" si="12"/>
        <v>8</v>
      </c>
    </row>
    <row r="1518" spans="1:6">
      <c r="A1518">
        <v>5005880</v>
      </c>
      <c r="B1518">
        <v>2020</v>
      </c>
      <c r="C1518" s="10" t="s">
        <v>102</v>
      </c>
      <c r="D1518" s="15">
        <v>0</v>
      </c>
      <c r="E1518">
        <f>IFERROR(VLOOKUP(C1518,'LEAID Match'!$A$2:$B$214,2,FALSE),"")</f>
        <v>5005880</v>
      </c>
      <c r="F1518">
        <f t="shared" si="12"/>
        <v>8</v>
      </c>
    </row>
    <row r="1519" spans="1:6">
      <c r="A1519">
        <v>5005880</v>
      </c>
      <c r="B1519">
        <v>2021</v>
      </c>
      <c r="C1519" s="10" t="s">
        <v>102</v>
      </c>
      <c r="D1519" s="15">
        <v>0</v>
      </c>
      <c r="E1519">
        <f>IFERROR(VLOOKUP(C1519,'LEAID Match'!$A$2:$B$214,2,FALSE),"")</f>
        <v>5005880</v>
      </c>
      <c r="F1519">
        <f t="shared" si="12"/>
        <v>8</v>
      </c>
    </row>
    <row r="1520" spans="1:6">
      <c r="A1520">
        <v>5005880</v>
      </c>
      <c r="B1520">
        <v>2022</v>
      </c>
      <c r="C1520" s="10" t="s">
        <v>102</v>
      </c>
      <c r="D1520" s="15">
        <v>0</v>
      </c>
      <c r="E1520">
        <f>IFERROR(VLOOKUP(C1520,'LEAID Match'!$A$2:$B$214,2,FALSE),"")</f>
        <v>5005880</v>
      </c>
      <c r="F1520">
        <f t="shared" si="12"/>
        <v>8</v>
      </c>
    </row>
    <row r="1521" spans="1:6">
      <c r="A1521">
        <v>5005820</v>
      </c>
      <c r="B1521">
        <v>2015</v>
      </c>
      <c r="C1521" s="10" t="s">
        <v>101</v>
      </c>
      <c r="D1521" s="15">
        <v>108765.71</v>
      </c>
      <c r="E1521">
        <f>IFERROR(VLOOKUP(C1521,'LEAID Match'!$A$2:$B$214,2,FALSE),"")</f>
        <v>5005820</v>
      </c>
      <c r="F1521">
        <f t="shared" si="12"/>
        <v>8</v>
      </c>
    </row>
    <row r="1522" spans="1:6">
      <c r="A1522">
        <v>5005820</v>
      </c>
      <c r="B1522">
        <v>2016</v>
      </c>
      <c r="C1522" s="10" t="s">
        <v>101</v>
      </c>
      <c r="D1522" s="15">
        <v>75592.899999999994</v>
      </c>
      <c r="E1522">
        <f>IFERROR(VLOOKUP(C1522,'LEAID Match'!$A$2:$B$214,2,FALSE),"")</f>
        <v>5005820</v>
      </c>
      <c r="F1522">
        <f t="shared" si="12"/>
        <v>8</v>
      </c>
    </row>
    <row r="1523" spans="1:6">
      <c r="A1523">
        <v>5005820</v>
      </c>
      <c r="B1523">
        <v>2017</v>
      </c>
      <c r="C1523" s="10" t="s">
        <v>101</v>
      </c>
      <c r="D1523" s="15">
        <v>75268</v>
      </c>
      <c r="E1523">
        <f>IFERROR(VLOOKUP(C1523,'LEAID Match'!$A$2:$B$214,2,FALSE),"")</f>
        <v>5005820</v>
      </c>
      <c r="F1523">
        <f t="shared" si="12"/>
        <v>8</v>
      </c>
    </row>
    <row r="1524" spans="1:6">
      <c r="A1524">
        <v>5005820</v>
      </c>
      <c r="B1524">
        <v>2018</v>
      </c>
      <c r="C1524" s="10" t="s">
        <v>101</v>
      </c>
      <c r="D1524" s="15">
        <v>103865</v>
      </c>
      <c r="E1524">
        <f>IFERROR(VLOOKUP(C1524,'LEAID Match'!$A$2:$B$214,2,FALSE),"")</f>
        <v>5005820</v>
      </c>
      <c r="F1524">
        <f t="shared" si="12"/>
        <v>8</v>
      </c>
    </row>
    <row r="1525" spans="1:6">
      <c r="A1525">
        <v>5005820</v>
      </c>
      <c r="B1525">
        <v>2019</v>
      </c>
      <c r="C1525" s="10" t="s">
        <v>101</v>
      </c>
      <c r="D1525" s="15">
        <v>0</v>
      </c>
      <c r="E1525">
        <f>IFERROR(VLOOKUP(C1525,'LEAID Match'!$A$2:$B$214,2,FALSE),"")</f>
        <v>5005820</v>
      </c>
      <c r="F1525">
        <f t="shared" si="12"/>
        <v>8</v>
      </c>
    </row>
    <row r="1526" spans="1:6">
      <c r="A1526">
        <v>5005820</v>
      </c>
      <c r="B1526">
        <v>2020</v>
      </c>
      <c r="C1526" s="10" t="s">
        <v>101</v>
      </c>
      <c r="D1526" s="15">
        <v>0</v>
      </c>
      <c r="E1526">
        <f>IFERROR(VLOOKUP(C1526,'LEAID Match'!$A$2:$B$214,2,FALSE),"")</f>
        <v>5005820</v>
      </c>
      <c r="F1526">
        <f t="shared" si="12"/>
        <v>8</v>
      </c>
    </row>
    <row r="1527" spans="1:6">
      <c r="A1527">
        <v>5005820</v>
      </c>
      <c r="B1527">
        <v>2021</v>
      </c>
      <c r="C1527" s="10" t="s">
        <v>101</v>
      </c>
      <c r="D1527" s="15">
        <v>0</v>
      </c>
      <c r="E1527">
        <f>IFERROR(VLOOKUP(C1527,'LEAID Match'!$A$2:$B$214,2,FALSE),"")</f>
        <v>5005820</v>
      </c>
      <c r="F1527">
        <f t="shared" si="12"/>
        <v>8</v>
      </c>
    </row>
    <row r="1528" spans="1:6">
      <c r="A1528">
        <v>5005820</v>
      </c>
      <c r="B1528">
        <v>2022</v>
      </c>
      <c r="C1528" s="10" t="s">
        <v>101</v>
      </c>
      <c r="D1528" s="15">
        <v>0</v>
      </c>
      <c r="E1528">
        <f>IFERROR(VLOOKUP(C1528,'LEAID Match'!$A$2:$B$214,2,FALSE),"")</f>
        <v>5005820</v>
      </c>
      <c r="F1528">
        <f t="shared" si="12"/>
        <v>8</v>
      </c>
    </row>
    <row r="1529" spans="1:6">
      <c r="A1529">
        <v>5005810</v>
      </c>
      <c r="B1529">
        <v>2015</v>
      </c>
      <c r="C1529" s="10" t="s">
        <v>227</v>
      </c>
      <c r="D1529" s="15">
        <v>968958.88</v>
      </c>
      <c r="E1529">
        <f>IFERROR(VLOOKUP(C1529,'LEAID Match'!$A$2:$B$214,2,FALSE),"")</f>
        <v>5005810</v>
      </c>
      <c r="F1529">
        <f t="shared" si="12"/>
        <v>8</v>
      </c>
    </row>
    <row r="1530" spans="1:6">
      <c r="A1530">
        <v>5005810</v>
      </c>
      <c r="B1530">
        <v>2016</v>
      </c>
      <c r="C1530" s="10" t="s">
        <v>227</v>
      </c>
      <c r="D1530" s="15">
        <v>894462.61</v>
      </c>
      <c r="E1530">
        <f>IFERROR(VLOOKUP(C1530,'LEAID Match'!$A$2:$B$214,2,FALSE),"")</f>
        <v>5005810</v>
      </c>
      <c r="F1530">
        <f t="shared" si="12"/>
        <v>8</v>
      </c>
    </row>
    <row r="1531" spans="1:6">
      <c r="A1531">
        <v>5005810</v>
      </c>
      <c r="B1531">
        <v>2017</v>
      </c>
      <c r="C1531" s="10" t="s">
        <v>227</v>
      </c>
      <c r="D1531" s="15">
        <v>932944</v>
      </c>
      <c r="E1531">
        <f>IFERROR(VLOOKUP(C1531,'LEAID Match'!$A$2:$B$214,2,FALSE),"")</f>
        <v>5005810</v>
      </c>
      <c r="F1531">
        <f t="shared" si="12"/>
        <v>8</v>
      </c>
    </row>
    <row r="1532" spans="1:6">
      <c r="A1532">
        <v>5005810</v>
      </c>
      <c r="B1532">
        <v>2018</v>
      </c>
      <c r="C1532" s="10" t="s">
        <v>227</v>
      </c>
      <c r="D1532" s="15">
        <v>1268289</v>
      </c>
      <c r="E1532">
        <f>IFERROR(VLOOKUP(C1532,'LEAID Match'!$A$2:$B$214,2,FALSE),"")</f>
        <v>5005810</v>
      </c>
      <c r="F1532">
        <f t="shared" si="12"/>
        <v>8</v>
      </c>
    </row>
    <row r="1533" spans="1:6">
      <c r="A1533">
        <v>5005810</v>
      </c>
      <c r="B1533">
        <v>2019</v>
      </c>
      <c r="C1533" s="10" t="s">
        <v>227</v>
      </c>
      <c r="D1533" s="15">
        <v>1318295</v>
      </c>
      <c r="E1533">
        <f>IFERROR(VLOOKUP(C1533,'LEAID Match'!$A$2:$B$214,2,FALSE),"")</f>
        <v>5005810</v>
      </c>
      <c r="F1533">
        <f t="shared" si="12"/>
        <v>8</v>
      </c>
    </row>
    <row r="1534" spans="1:6">
      <c r="A1534">
        <v>5005810</v>
      </c>
      <c r="B1534">
        <v>2020</v>
      </c>
      <c r="C1534" s="10" t="s">
        <v>227</v>
      </c>
      <c r="D1534" s="15">
        <v>1376894</v>
      </c>
      <c r="E1534">
        <f>IFERROR(VLOOKUP(C1534,'LEAID Match'!$A$2:$B$214,2,FALSE),"")</f>
        <v>5005810</v>
      </c>
      <c r="F1534">
        <f t="shared" si="12"/>
        <v>8</v>
      </c>
    </row>
    <row r="1535" spans="1:6">
      <c r="A1535">
        <v>5005810</v>
      </c>
      <c r="B1535">
        <v>2021</v>
      </c>
      <c r="C1535" s="10" t="s">
        <v>227</v>
      </c>
      <c r="D1535" s="15">
        <v>1328269</v>
      </c>
      <c r="E1535">
        <f>IFERROR(VLOOKUP(C1535,'LEAID Match'!$A$2:$B$214,2,FALSE),"")</f>
        <v>5005810</v>
      </c>
      <c r="F1535">
        <f t="shared" si="12"/>
        <v>8</v>
      </c>
    </row>
    <row r="1536" spans="1:6">
      <c r="A1536">
        <v>5005810</v>
      </c>
      <c r="B1536">
        <v>2022</v>
      </c>
      <c r="C1536" s="10" t="s">
        <v>227</v>
      </c>
      <c r="D1536" s="15">
        <v>3339643</v>
      </c>
      <c r="E1536">
        <f>IFERROR(VLOOKUP(C1536,'LEAID Match'!$A$2:$B$214,2,FALSE),"")</f>
        <v>5005810</v>
      </c>
      <c r="F1536">
        <f t="shared" si="12"/>
        <v>8</v>
      </c>
    </row>
    <row r="1537" spans="1:6">
      <c r="A1537">
        <v>5005700</v>
      </c>
      <c r="B1537">
        <v>2015</v>
      </c>
      <c r="C1537" s="10" t="s">
        <v>98</v>
      </c>
      <c r="D1537" s="15">
        <v>797342.32</v>
      </c>
      <c r="E1537">
        <f>IFERROR(VLOOKUP(C1537,'LEAID Match'!$A$2:$B$214,2,FALSE),"")</f>
        <v>5005700</v>
      </c>
      <c r="F1537">
        <f t="shared" si="12"/>
        <v>8</v>
      </c>
    </row>
    <row r="1538" spans="1:6">
      <c r="A1538">
        <v>5005700</v>
      </c>
      <c r="B1538">
        <v>2016</v>
      </c>
      <c r="C1538" s="10" t="s">
        <v>98</v>
      </c>
      <c r="D1538" s="15">
        <v>796996.56</v>
      </c>
      <c r="E1538">
        <f>IFERROR(VLOOKUP(C1538,'LEAID Match'!$A$2:$B$214,2,FALSE),"")</f>
        <v>5005700</v>
      </c>
      <c r="F1538">
        <f t="shared" ref="F1538:F1601" si="13">COUNTIF($A$705:$A$2272,A1538)</f>
        <v>8</v>
      </c>
    </row>
    <row r="1539" spans="1:6">
      <c r="A1539">
        <v>5005700</v>
      </c>
      <c r="B1539">
        <v>2017</v>
      </c>
      <c r="C1539" s="10" t="s">
        <v>98</v>
      </c>
      <c r="D1539" s="15">
        <v>896719</v>
      </c>
      <c r="E1539">
        <f>IFERROR(VLOOKUP(C1539,'LEAID Match'!$A$2:$B$214,2,FALSE),"")</f>
        <v>5005700</v>
      </c>
      <c r="F1539">
        <f t="shared" si="13"/>
        <v>8</v>
      </c>
    </row>
    <row r="1540" spans="1:6">
      <c r="A1540">
        <v>5005700</v>
      </c>
      <c r="B1540">
        <v>2018</v>
      </c>
      <c r="C1540" s="10" t="s">
        <v>98</v>
      </c>
      <c r="D1540" s="15">
        <v>1322406</v>
      </c>
      <c r="E1540">
        <f>IFERROR(VLOOKUP(C1540,'LEAID Match'!$A$2:$B$214,2,FALSE),"")</f>
        <v>5005700</v>
      </c>
      <c r="F1540">
        <f t="shared" si="13"/>
        <v>8</v>
      </c>
    </row>
    <row r="1541" spans="1:6">
      <c r="A1541">
        <v>5005700</v>
      </c>
      <c r="B1541">
        <v>2019</v>
      </c>
      <c r="C1541" s="10" t="s">
        <v>98</v>
      </c>
      <c r="D1541" s="15">
        <v>0</v>
      </c>
      <c r="E1541">
        <f>IFERROR(VLOOKUP(C1541,'LEAID Match'!$A$2:$B$214,2,FALSE),"")</f>
        <v>5005700</v>
      </c>
      <c r="F1541">
        <f t="shared" si="13"/>
        <v>8</v>
      </c>
    </row>
    <row r="1542" spans="1:6">
      <c r="A1542">
        <v>5005700</v>
      </c>
      <c r="B1542">
        <v>2020</v>
      </c>
      <c r="C1542" s="10" t="s">
        <v>98</v>
      </c>
      <c r="D1542" s="15">
        <v>0</v>
      </c>
      <c r="E1542">
        <f>IFERROR(VLOOKUP(C1542,'LEAID Match'!$A$2:$B$214,2,FALSE),"")</f>
        <v>5005700</v>
      </c>
      <c r="F1542">
        <f t="shared" si="13"/>
        <v>8</v>
      </c>
    </row>
    <row r="1543" spans="1:6">
      <c r="A1543">
        <v>5005700</v>
      </c>
      <c r="B1543">
        <v>2021</v>
      </c>
      <c r="C1543" s="10" t="s">
        <v>98</v>
      </c>
      <c r="D1543" s="15">
        <v>0</v>
      </c>
      <c r="E1543">
        <f>IFERROR(VLOOKUP(C1543,'LEAID Match'!$A$2:$B$214,2,FALSE),"")</f>
        <v>5005700</v>
      </c>
      <c r="F1543">
        <f t="shared" si="13"/>
        <v>8</v>
      </c>
    </row>
    <row r="1544" spans="1:6">
      <c r="A1544">
        <v>5005700</v>
      </c>
      <c r="B1544">
        <v>2022</v>
      </c>
      <c r="C1544" s="10" t="s">
        <v>98</v>
      </c>
      <c r="D1544" s="15">
        <v>0</v>
      </c>
      <c r="E1544">
        <f>IFERROR(VLOOKUP(C1544,'LEAID Match'!$A$2:$B$214,2,FALSE),"")</f>
        <v>5005700</v>
      </c>
      <c r="F1544">
        <f t="shared" si="13"/>
        <v>8</v>
      </c>
    </row>
    <row r="1545" spans="1:6">
      <c r="A1545">
        <v>5005670</v>
      </c>
      <c r="B1545">
        <v>2015</v>
      </c>
      <c r="C1545" s="10" t="s">
        <v>97</v>
      </c>
      <c r="D1545" s="15">
        <v>49352.92</v>
      </c>
      <c r="E1545">
        <f>IFERROR(VLOOKUP(C1545,'LEAID Match'!$A$2:$B$214,2,FALSE),"")</f>
        <v>5005670</v>
      </c>
      <c r="F1545">
        <f t="shared" si="13"/>
        <v>8</v>
      </c>
    </row>
    <row r="1546" spans="1:6">
      <c r="A1546">
        <v>5005670</v>
      </c>
      <c r="B1546">
        <v>2016</v>
      </c>
      <c r="C1546" s="10" t="s">
        <v>97</v>
      </c>
      <c r="D1546" s="15">
        <v>65012.33</v>
      </c>
      <c r="E1546">
        <f>IFERROR(VLOOKUP(C1546,'LEAID Match'!$A$2:$B$214,2,FALSE),"")</f>
        <v>5005670</v>
      </c>
      <c r="F1546">
        <f t="shared" si="13"/>
        <v>8</v>
      </c>
    </row>
    <row r="1547" spans="1:6">
      <c r="A1547">
        <v>5005670</v>
      </c>
      <c r="B1547">
        <v>2017</v>
      </c>
      <c r="C1547" s="10" t="s">
        <v>97</v>
      </c>
      <c r="D1547" s="15">
        <v>68803</v>
      </c>
      <c r="E1547">
        <f>IFERROR(VLOOKUP(C1547,'LEAID Match'!$A$2:$B$214,2,FALSE),"")</f>
        <v>5005670</v>
      </c>
      <c r="F1547">
        <f t="shared" si="13"/>
        <v>8</v>
      </c>
    </row>
    <row r="1548" spans="1:6">
      <c r="A1548">
        <v>5005670</v>
      </c>
      <c r="B1548">
        <v>2018</v>
      </c>
      <c r="C1548" s="10" t="s">
        <v>97</v>
      </c>
      <c r="D1548" s="15">
        <v>101446</v>
      </c>
      <c r="E1548">
        <f>IFERROR(VLOOKUP(C1548,'LEAID Match'!$A$2:$B$214,2,FALSE),"")</f>
        <v>5005670</v>
      </c>
      <c r="F1548">
        <f t="shared" si="13"/>
        <v>8</v>
      </c>
    </row>
    <row r="1549" spans="1:6">
      <c r="A1549">
        <v>5005670</v>
      </c>
      <c r="B1549">
        <v>2019</v>
      </c>
      <c r="C1549" s="10" t="s">
        <v>97</v>
      </c>
      <c r="D1549" s="15">
        <v>106861</v>
      </c>
      <c r="E1549">
        <f>IFERROR(VLOOKUP(C1549,'LEAID Match'!$A$2:$B$214,2,FALSE),"")</f>
        <v>5005670</v>
      </c>
      <c r="F1549">
        <f t="shared" si="13"/>
        <v>8</v>
      </c>
    </row>
    <row r="1550" spans="1:6">
      <c r="A1550">
        <v>5005670</v>
      </c>
      <c r="B1550">
        <v>2020</v>
      </c>
      <c r="C1550" s="10" t="s">
        <v>97</v>
      </c>
      <c r="D1550" s="15">
        <v>0</v>
      </c>
      <c r="E1550">
        <f>IFERROR(VLOOKUP(C1550,'LEAID Match'!$A$2:$B$214,2,FALSE),"")</f>
        <v>5005670</v>
      </c>
      <c r="F1550">
        <f t="shared" si="13"/>
        <v>8</v>
      </c>
    </row>
    <row r="1551" spans="1:6">
      <c r="A1551">
        <v>5005670</v>
      </c>
      <c r="B1551">
        <v>2021</v>
      </c>
      <c r="C1551" s="10" t="s">
        <v>97</v>
      </c>
      <c r="D1551" s="15">
        <v>0</v>
      </c>
      <c r="E1551">
        <f>IFERROR(VLOOKUP(C1551,'LEAID Match'!$A$2:$B$214,2,FALSE),"")</f>
        <v>5005670</v>
      </c>
      <c r="F1551">
        <f t="shared" si="13"/>
        <v>8</v>
      </c>
    </row>
    <row r="1552" spans="1:6">
      <c r="A1552">
        <v>5005670</v>
      </c>
      <c r="B1552">
        <v>2022</v>
      </c>
      <c r="C1552" s="10" t="s">
        <v>97</v>
      </c>
      <c r="D1552" s="15">
        <v>0</v>
      </c>
      <c r="E1552">
        <f>IFERROR(VLOOKUP(C1552,'LEAID Match'!$A$2:$B$214,2,FALSE),"")</f>
        <v>5005670</v>
      </c>
      <c r="F1552">
        <f t="shared" si="13"/>
        <v>8</v>
      </c>
    </row>
    <row r="1553" spans="1:6">
      <c r="A1553">
        <v>5005640</v>
      </c>
      <c r="B1553">
        <v>2015</v>
      </c>
      <c r="C1553" s="10" t="s">
        <v>96</v>
      </c>
      <c r="D1553" s="15">
        <v>121587.9</v>
      </c>
      <c r="E1553">
        <f>IFERROR(VLOOKUP(C1553,'LEAID Match'!$A$2:$B$214,2,FALSE),"")</f>
        <v>5005640</v>
      </c>
      <c r="F1553">
        <f t="shared" si="13"/>
        <v>8</v>
      </c>
    </row>
    <row r="1554" spans="1:6">
      <c r="A1554">
        <v>5005640</v>
      </c>
      <c r="B1554">
        <v>2016</v>
      </c>
      <c r="C1554" s="10" t="s">
        <v>96</v>
      </c>
      <c r="D1554" s="15">
        <v>99470.63</v>
      </c>
      <c r="E1554">
        <f>IFERROR(VLOOKUP(C1554,'LEAID Match'!$A$2:$B$214,2,FALSE),"")</f>
        <v>5005640</v>
      </c>
      <c r="F1554">
        <f t="shared" si="13"/>
        <v>8</v>
      </c>
    </row>
    <row r="1555" spans="1:6">
      <c r="A1555">
        <v>5005640</v>
      </c>
      <c r="B1555">
        <v>2017</v>
      </c>
      <c r="C1555" s="10" t="s">
        <v>96</v>
      </c>
      <c r="D1555" s="15">
        <v>107030</v>
      </c>
      <c r="E1555">
        <f>IFERROR(VLOOKUP(C1555,'LEAID Match'!$A$2:$B$214,2,FALSE),"")</f>
        <v>5005640</v>
      </c>
      <c r="F1555">
        <f t="shared" si="13"/>
        <v>8</v>
      </c>
    </row>
    <row r="1556" spans="1:6">
      <c r="A1556">
        <v>5005640</v>
      </c>
      <c r="B1556">
        <v>2018</v>
      </c>
      <c r="C1556" s="10" t="s">
        <v>96</v>
      </c>
      <c r="D1556" s="15">
        <v>153059</v>
      </c>
      <c r="E1556">
        <f>IFERROR(VLOOKUP(C1556,'LEAID Match'!$A$2:$B$214,2,FALSE),"")</f>
        <v>5005640</v>
      </c>
      <c r="F1556">
        <f t="shared" si="13"/>
        <v>8</v>
      </c>
    </row>
    <row r="1557" spans="1:6">
      <c r="A1557">
        <v>5005640</v>
      </c>
      <c r="B1557">
        <v>2019</v>
      </c>
      <c r="C1557" s="10" t="s">
        <v>96</v>
      </c>
      <c r="D1557" s="15">
        <v>0</v>
      </c>
      <c r="E1557">
        <f>IFERROR(VLOOKUP(C1557,'LEAID Match'!$A$2:$B$214,2,FALSE),"")</f>
        <v>5005640</v>
      </c>
      <c r="F1557">
        <f t="shared" si="13"/>
        <v>8</v>
      </c>
    </row>
    <row r="1558" spans="1:6">
      <c r="A1558">
        <v>5005640</v>
      </c>
      <c r="B1558">
        <v>2020</v>
      </c>
      <c r="C1558" s="10" t="s">
        <v>96</v>
      </c>
      <c r="D1558" s="15">
        <v>0</v>
      </c>
      <c r="E1558">
        <f>IFERROR(VLOOKUP(C1558,'LEAID Match'!$A$2:$B$214,2,FALSE),"")</f>
        <v>5005640</v>
      </c>
      <c r="F1558">
        <f t="shared" si="13"/>
        <v>8</v>
      </c>
    </row>
    <row r="1559" spans="1:6">
      <c r="A1559">
        <v>5005640</v>
      </c>
      <c r="B1559">
        <v>2021</v>
      </c>
      <c r="C1559" s="10" t="s">
        <v>96</v>
      </c>
      <c r="D1559" s="15">
        <v>0</v>
      </c>
      <c r="E1559">
        <f>IFERROR(VLOOKUP(C1559,'LEAID Match'!$A$2:$B$214,2,FALSE),"")</f>
        <v>5005640</v>
      </c>
      <c r="F1559">
        <f t="shared" si="13"/>
        <v>8</v>
      </c>
    </row>
    <row r="1560" spans="1:6">
      <c r="A1560">
        <v>5005640</v>
      </c>
      <c r="B1560">
        <v>2022</v>
      </c>
      <c r="C1560" s="10" t="s">
        <v>96</v>
      </c>
      <c r="D1560" s="15">
        <v>0</v>
      </c>
      <c r="E1560">
        <f>IFERROR(VLOOKUP(C1560,'LEAID Match'!$A$2:$B$214,2,FALSE),"")</f>
        <v>5005640</v>
      </c>
      <c r="F1560">
        <f t="shared" si="13"/>
        <v>8</v>
      </c>
    </row>
    <row r="1561" spans="1:6">
      <c r="A1561">
        <v>5005620</v>
      </c>
      <c r="B1561">
        <v>2015</v>
      </c>
      <c r="C1561" s="10" t="s">
        <v>263</v>
      </c>
      <c r="D1561" s="15">
        <v>635415.41</v>
      </c>
      <c r="E1561">
        <f>IFERROR(VLOOKUP(C1561,'LEAID Match'!$A$2:$B$214,2,FALSE),"")</f>
        <v>5005620</v>
      </c>
      <c r="F1561">
        <f t="shared" si="13"/>
        <v>8</v>
      </c>
    </row>
    <row r="1562" spans="1:6">
      <c r="A1562">
        <v>5005620</v>
      </c>
      <c r="B1562">
        <v>2016</v>
      </c>
      <c r="C1562" s="10" t="s">
        <v>263</v>
      </c>
      <c r="D1562" s="15">
        <v>535132.36</v>
      </c>
      <c r="E1562">
        <f>IFERROR(VLOOKUP(C1562,'LEAID Match'!$A$2:$B$214,2,FALSE),"")</f>
        <v>5005620</v>
      </c>
      <c r="F1562">
        <f t="shared" si="13"/>
        <v>8</v>
      </c>
    </row>
    <row r="1563" spans="1:6">
      <c r="A1563">
        <v>5005620</v>
      </c>
      <c r="B1563">
        <v>2017</v>
      </c>
      <c r="C1563" s="10" t="s">
        <v>263</v>
      </c>
      <c r="D1563" s="15">
        <v>582824</v>
      </c>
      <c r="E1563">
        <f>IFERROR(VLOOKUP(C1563,'LEAID Match'!$A$2:$B$214,2,FALSE),"")</f>
        <v>5005620</v>
      </c>
      <c r="F1563">
        <f t="shared" si="13"/>
        <v>8</v>
      </c>
    </row>
    <row r="1564" spans="1:6">
      <c r="A1564">
        <v>5005620</v>
      </c>
      <c r="B1564">
        <v>2018</v>
      </c>
      <c r="C1564" s="10" t="s">
        <v>263</v>
      </c>
      <c r="D1564" s="15">
        <v>794046</v>
      </c>
      <c r="E1564">
        <f>IFERROR(VLOOKUP(C1564,'LEAID Match'!$A$2:$B$214,2,FALSE),"")</f>
        <v>5005620</v>
      </c>
      <c r="F1564">
        <f t="shared" si="13"/>
        <v>8</v>
      </c>
    </row>
    <row r="1565" spans="1:6">
      <c r="A1565">
        <v>5005620</v>
      </c>
      <c r="B1565">
        <v>2019</v>
      </c>
      <c r="C1565" s="10" t="s">
        <v>263</v>
      </c>
      <c r="D1565" s="15">
        <v>849989</v>
      </c>
      <c r="E1565">
        <f>IFERROR(VLOOKUP(C1565,'LEAID Match'!$A$2:$B$214,2,FALSE),"")</f>
        <v>5005620</v>
      </c>
      <c r="F1565">
        <f t="shared" si="13"/>
        <v>8</v>
      </c>
    </row>
    <row r="1566" spans="1:6">
      <c r="A1566">
        <v>5005620</v>
      </c>
      <c r="B1566">
        <v>2020</v>
      </c>
      <c r="C1566" s="10" t="s">
        <v>263</v>
      </c>
      <c r="D1566" s="15">
        <v>0</v>
      </c>
      <c r="E1566">
        <f>IFERROR(VLOOKUP(C1566,'LEAID Match'!$A$2:$B$214,2,FALSE),"")</f>
        <v>5005620</v>
      </c>
      <c r="F1566">
        <f t="shared" si="13"/>
        <v>8</v>
      </c>
    </row>
    <row r="1567" spans="1:6">
      <c r="A1567">
        <v>5005620</v>
      </c>
      <c r="B1567">
        <v>2021</v>
      </c>
      <c r="C1567" s="10" t="s">
        <v>263</v>
      </c>
      <c r="D1567" s="15">
        <v>0</v>
      </c>
      <c r="E1567">
        <f>IFERROR(VLOOKUP(C1567,'LEAID Match'!$A$2:$B$214,2,FALSE),"")</f>
        <v>5005620</v>
      </c>
      <c r="F1567">
        <f t="shared" si="13"/>
        <v>8</v>
      </c>
    </row>
    <row r="1568" spans="1:6">
      <c r="A1568">
        <v>5005620</v>
      </c>
      <c r="B1568">
        <v>2022</v>
      </c>
      <c r="C1568" s="10" t="s">
        <v>263</v>
      </c>
      <c r="D1568" s="15">
        <v>0</v>
      </c>
      <c r="E1568">
        <f>IFERROR(VLOOKUP(C1568,'LEAID Match'!$A$2:$B$214,2,FALSE),"")</f>
        <v>5005620</v>
      </c>
      <c r="F1568">
        <f t="shared" si="13"/>
        <v>8</v>
      </c>
    </row>
    <row r="1569" spans="1:6">
      <c r="A1569">
        <v>5005610</v>
      </c>
      <c r="B1569">
        <v>2015</v>
      </c>
      <c r="C1569" s="10" t="s">
        <v>95</v>
      </c>
      <c r="D1569" s="15">
        <v>1244344.68</v>
      </c>
      <c r="E1569">
        <f>IFERROR(VLOOKUP(C1569,'LEAID Match'!$A$2:$B$214,2,FALSE),"")</f>
        <v>5005610</v>
      </c>
      <c r="F1569">
        <f t="shared" si="13"/>
        <v>8</v>
      </c>
    </row>
    <row r="1570" spans="1:6">
      <c r="A1570">
        <v>5005610</v>
      </c>
      <c r="B1570">
        <v>2016</v>
      </c>
      <c r="C1570" s="10" t="s">
        <v>95</v>
      </c>
      <c r="D1570" s="15">
        <v>1225130.3600000001</v>
      </c>
      <c r="E1570">
        <f>IFERROR(VLOOKUP(C1570,'LEAID Match'!$A$2:$B$214,2,FALSE),"")</f>
        <v>5005610</v>
      </c>
      <c r="F1570">
        <f t="shared" si="13"/>
        <v>8</v>
      </c>
    </row>
    <row r="1571" spans="1:6">
      <c r="A1571">
        <v>5005610</v>
      </c>
      <c r="B1571">
        <v>2017</v>
      </c>
      <c r="C1571" s="10" t="s">
        <v>95</v>
      </c>
      <c r="D1571" s="15">
        <v>1357490</v>
      </c>
      <c r="E1571">
        <f>IFERROR(VLOOKUP(C1571,'LEAID Match'!$A$2:$B$214,2,FALSE),"")</f>
        <v>5005610</v>
      </c>
      <c r="F1571">
        <f t="shared" si="13"/>
        <v>8</v>
      </c>
    </row>
    <row r="1572" spans="1:6">
      <c r="A1572">
        <v>5005610</v>
      </c>
      <c r="B1572">
        <v>2018</v>
      </c>
      <c r="C1572" s="10" t="s">
        <v>95</v>
      </c>
      <c r="D1572" s="15">
        <v>1865125</v>
      </c>
      <c r="E1572">
        <f>IFERROR(VLOOKUP(C1572,'LEAID Match'!$A$2:$B$214,2,FALSE),"")</f>
        <v>5005610</v>
      </c>
      <c r="F1572">
        <f t="shared" si="13"/>
        <v>8</v>
      </c>
    </row>
    <row r="1573" spans="1:6">
      <c r="A1573">
        <v>5005610</v>
      </c>
      <c r="B1573">
        <v>2019</v>
      </c>
      <c r="C1573" s="10" t="s">
        <v>95</v>
      </c>
      <c r="D1573" s="15">
        <v>1980505</v>
      </c>
      <c r="E1573">
        <f>IFERROR(VLOOKUP(C1573,'LEAID Match'!$A$2:$B$214,2,FALSE),"")</f>
        <v>5005610</v>
      </c>
      <c r="F1573">
        <f t="shared" si="13"/>
        <v>8</v>
      </c>
    </row>
    <row r="1574" spans="1:6">
      <c r="A1574">
        <v>5005610</v>
      </c>
      <c r="B1574">
        <v>2020</v>
      </c>
      <c r="C1574" s="10" t="s">
        <v>95</v>
      </c>
      <c r="D1574" s="15">
        <v>2043501</v>
      </c>
      <c r="E1574">
        <f>IFERROR(VLOOKUP(C1574,'LEAID Match'!$A$2:$B$214,2,FALSE),"")</f>
        <v>5005610</v>
      </c>
      <c r="F1574">
        <f t="shared" si="13"/>
        <v>8</v>
      </c>
    </row>
    <row r="1575" spans="1:6">
      <c r="A1575">
        <v>5005610</v>
      </c>
      <c r="B1575">
        <v>2021</v>
      </c>
      <c r="C1575" s="10" t="s">
        <v>95</v>
      </c>
      <c r="D1575" s="15">
        <v>2227227</v>
      </c>
      <c r="E1575">
        <f>IFERROR(VLOOKUP(C1575,'LEAID Match'!$A$2:$B$214,2,FALSE),"")</f>
        <v>5005610</v>
      </c>
      <c r="F1575">
        <f t="shared" si="13"/>
        <v>8</v>
      </c>
    </row>
    <row r="1576" spans="1:6">
      <c r="A1576">
        <v>5005610</v>
      </c>
      <c r="B1576">
        <v>2022</v>
      </c>
      <c r="C1576" s="10" t="s">
        <v>95</v>
      </c>
      <c r="D1576" s="15">
        <v>5549295</v>
      </c>
      <c r="E1576">
        <f>IFERROR(VLOOKUP(C1576,'LEAID Match'!$A$2:$B$214,2,FALSE),"")</f>
        <v>5005610</v>
      </c>
      <c r="F1576">
        <f t="shared" si="13"/>
        <v>8</v>
      </c>
    </row>
    <row r="1577" spans="1:6">
      <c r="A1577">
        <v>5005580</v>
      </c>
      <c r="B1577">
        <v>2015</v>
      </c>
      <c r="C1577" s="10" t="s">
        <v>94</v>
      </c>
      <c r="D1577" s="15">
        <v>43040.78</v>
      </c>
      <c r="E1577">
        <f>IFERROR(VLOOKUP(C1577,'LEAID Match'!$A$2:$B$214,2,FALSE),"")</f>
        <v>5005580</v>
      </c>
      <c r="F1577">
        <f t="shared" si="13"/>
        <v>8</v>
      </c>
    </row>
    <row r="1578" spans="1:6">
      <c r="A1578">
        <v>5005580</v>
      </c>
      <c r="B1578">
        <v>2016</v>
      </c>
      <c r="C1578" s="10" t="s">
        <v>94</v>
      </c>
      <c r="D1578" s="15">
        <v>44534.68</v>
      </c>
      <c r="E1578">
        <f>IFERROR(VLOOKUP(C1578,'LEAID Match'!$A$2:$B$214,2,FALSE),"")</f>
        <v>5005580</v>
      </c>
      <c r="F1578">
        <f t="shared" si="13"/>
        <v>8</v>
      </c>
    </row>
    <row r="1579" spans="1:6">
      <c r="A1579">
        <v>5005580</v>
      </c>
      <c r="B1579">
        <v>2017</v>
      </c>
      <c r="C1579" s="10" t="s">
        <v>94</v>
      </c>
      <c r="D1579" s="15">
        <v>51344</v>
      </c>
      <c r="E1579">
        <f>IFERROR(VLOOKUP(C1579,'LEAID Match'!$A$2:$B$214,2,FALSE),"")</f>
        <v>5005580</v>
      </c>
      <c r="F1579">
        <f t="shared" si="13"/>
        <v>8</v>
      </c>
    </row>
    <row r="1580" spans="1:6">
      <c r="A1580">
        <v>5005580</v>
      </c>
      <c r="B1580">
        <v>2018</v>
      </c>
      <c r="C1580" s="10" t="s">
        <v>94</v>
      </c>
      <c r="D1580" s="15">
        <v>74664</v>
      </c>
      <c r="E1580">
        <f>IFERROR(VLOOKUP(C1580,'LEAID Match'!$A$2:$B$214,2,FALSE),"")</f>
        <v>5005580</v>
      </c>
      <c r="F1580">
        <f t="shared" si="13"/>
        <v>8</v>
      </c>
    </row>
    <row r="1581" spans="1:6">
      <c r="A1581">
        <v>5005580</v>
      </c>
      <c r="B1581">
        <v>2019</v>
      </c>
      <c r="C1581" s="10" t="s">
        <v>94</v>
      </c>
      <c r="D1581" s="15">
        <v>0</v>
      </c>
      <c r="E1581">
        <f>IFERROR(VLOOKUP(C1581,'LEAID Match'!$A$2:$B$214,2,FALSE),"")</f>
        <v>5005580</v>
      </c>
      <c r="F1581">
        <f t="shared" si="13"/>
        <v>8</v>
      </c>
    </row>
    <row r="1582" spans="1:6">
      <c r="A1582">
        <v>5005580</v>
      </c>
      <c r="B1582">
        <v>2020</v>
      </c>
      <c r="C1582" s="10" t="s">
        <v>94</v>
      </c>
      <c r="D1582" s="15">
        <v>0</v>
      </c>
      <c r="E1582">
        <f>IFERROR(VLOOKUP(C1582,'LEAID Match'!$A$2:$B$214,2,FALSE),"")</f>
        <v>5005580</v>
      </c>
      <c r="F1582">
        <f t="shared" si="13"/>
        <v>8</v>
      </c>
    </row>
    <row r="1583" spans="1:6">
      <c r="A1583">
        <v>5005580</v>
      </c>
      <c r="B1583">
        <v>2021</v>
      </c>
      <c r="C1583" s="10" t="s">
        <v>94</v>
      </c>
      <c r="D1583" s="15">
        <v>0</v>
      </c>
      <c r="E1583">
        <f>IFERROR(VLOOKUP(C1583,'LEAID Match'!$A$2:$B$214,2,FALSE),"")</f>
        <v>5005580</v>
      </c>
      <c r="F1583">
        <f t="shared" si="13"/>
        <v>8</v>
      </c>
    </row>
    <row r="1584" spans="1:6">
      <c r="A1584">
        <v>5005580</v>
      </c>
      <c r="B1584">
        <v>2022</v>
      </c>
      <c r="C1584" s="10" t="s">
        <v>94</v>
      </c>
      <c r="D1584" s="15">
        <v>0</v>
      </c>
      <c r="E1584">
        <f>IFERROR(VLOOKUP(C1584,'LEAID Match'!$A$2:$B$214,2,FALSE),"")</f>
        <v>5005580</v>
      </c>
      <c r="F1584">
        <f t="shared" si="13"/>
        <v>8</v>
      </c>
    </row>
    <row r="1585" spans="1:6">
      <c r="A1585">
        <v>5005550</v>
      </c>
      <c r="B1585">
        <v>2015</v>
      </c>
      <c r="C1585" s="10" t="s">
        <v>93</v>
      </c>
      <c r="D1585" s="15">
        <v>111372.72</v>
      </c>
      <c r="E1585">
        <f>IFERROR(VLOOKUP(C1585,'LEAID Match'!$A$2:$B$214,2,FALSE),"")</f>
        <v>5005550</v>
      </c>
      <c r="F1585">
        <f t="shared" si="13"/>
        <v>8</v>
      </c>
    </row>
    <row r="1586" spans="1:6">
      <c r="A1586">
        <v>5005550</v>
      </c>
      <c r="B1586">
        <v>2016</v>
      </c>
      <c r="C1586" s="10" t="s">
        <v>93</v>
      </c>
      <c r="D1586" s="15">
        <v>111576.68</v>
      </c>
      <c r="E1586">
        <f>IFERROR(VLOOKUP(C1586,'LEAID Match'!$A$2:$B$214,2,FALSE),"")</f>
        <v>5005550</v>
      </c>
      <c r="F1586">
        <f t="shared" si="13"/>
        <v>8</v>
      </c>
    </row>
    <row r="1587" spans="1:6">
      <c r="A1587">
        <v>5005550</v>
      </c>
      <c r="B1587">
        <v>2017</v>
      </c>
      <c r="C1587" s="10" t="s">
        <v>93</v>
      </c>
      <c r="D1587" s="15">
        <v>124860</v>
      </c>
      <c r="E1587">
        <f>IFERROR(VLOOKUP(C1587,'LEAID Match'!$A$2:$B$214,2,FALSE),"")</f>
        <v>5005550</v>
      </c>
      <c r="F1587">
        <f t="shared" si="13"/>
        <v>8</v>
      </c>
    </row>
    <row r="1588" spans="1:6">
      <c r="A1588">
        <v>5005550</v>
      </c>
      <c r="B1588">
        <v>2018</v>
      </c>
      <c r="C1588" s="10" t="s">
        <v>93</v>
      </c>
      <c r="D1588" s="15">
        <v>166614</v>
      </c>
      <c r="E1588">
        <f>IFERROR(VLOOKUP(C1588,'LEAID Match'!$A$2:$B$214,2,FALSE),"")</f>
        <v>5005550</v>
      </c>
      <c r="F1588">
        <f t="shared" si="13"/>
        <v>8</v>
      </c>
    </row>
    <row r="1589" spans="1:6">
      <c r="A1589">
        <v>5005550</v>
      </c>
      <c r="B1589">
        <v>2019</v>
      </c>
      <c r="C1589" s="10" t="s">
        <v>93</v>
      </c>
      <c r="D1589" s="15">
        <v>179592</v>
      </c>
      <c r="E1589">
        <f>IFERROR(VLOOKUP(C1589,'LEAID Match'!$A$2:$B$214,2,FALSE),"")</f>
        <v>5005550</v>
      </c>
      <c r="F1589">
        <f t="shared" si="13"/>
        <v>8</v>
      </c>
    </row>
    <row r="1590" spans="1:6">
      <c r="A1590">
        <v>5005550</v>
      </c>
      <c r="B1590">
        <v>2020</v>
      </c>
      <c r="C1590" s="10" t="s">
        <v>93</v>
      </c>
      <c r="D1590" s="15">
        <v>0</v>
      </c>
      <c r="E1590">
        <f>IFERROR(VLOOKUP(C1590,'LEAID Match'!$A$2:$B$214,2,FALSE),"")</f>
        <v>5005550</v>
      </c>
      <c r="F1590">
        <f t="shared" si="13"/>
        <v>8</v>
      </c>
    </row>
    <row r="1591" spans="1:6">
      <c r="A1591">
        <v>5005550</v>
      </c>
      <c r="B1591">
        <v>2021</v>
      </c>
      <c r="C1591" s="10" t="s">
        <v>93</v>
      </c>
      <c r="D1591" s="15">
        <v>0</v>
      </c>
      <c r="E1591">
        <f>IFERROR(VLOOKUP(C1591,'LEAID Match'!$A$2:$B$214,2,FALSE),"")</f>
        <v>5005550</v>
      </c>
      <c r="F1591">
        <f t="shared" si="13"/>
        <v>8</v>
      </c>
    </row>
    <row r="1592" spans="1:6">
      <c r="A1592">
        <v>5005550</v>
      </c>
      <c r="B1592">
        <v>2022</v>
      </c>
      <c r="C1592" s="10" t="s">
        <v>93</v>
      </c>
      <c r="D1592" s="15">
        <v>0</v>
      </c>
      <c r="E1592">
        <f>IFERROR(VLOOKUP(C1592,'LEAID Match'!$A$2:$B$214,2,FALSE),"")</f>
        <v>5005550</v>
      </c>
      <c r="F1592">
        <f t="shared" si="13"/>
        <v>8</v>
      </c>
    </row>
    <row r="1593" spans="1:6">
      <c r="A1593">
        <v>5005400</v>
      </c>
      <c r="B1593">
        <v>2015</v>
      </c>
      <c r="C1593" s="10" t="s">
        <v>91</v>
      </c>
      <c r="D1593" s="15">
        <v>77342.320000000007</v>
      </c>
      <c r="E1593">
        <f>IFERROR(VLOOKUP(C1593,'LEAID Match'!$A$2:$B$214,2,FALSE),"")</f>
        <v>5005400</v>
      </c>
      <c r="F1593">
        <f t="shared" si="13"/>
        <v>8</v>
      </c>
    </row>
    <row r="1594" spans="1:6">
      <c r="A1594">
        <v>5005400</v>
      </c>
      <c r="B1594">
        <v>2016</v>
      </c>
      <c r="C1594" s="10" t="s">
        <v>91</v>
      </c>
      <c r="D1594" s="15">
        <v>73650.66</v>
      </c>
      <c r="E1594">
        <f>IFERROR(VLOOKUP(C1594,'LEAID Match'!$A$2:$B$214,2,FALSE),"")</f>
        <v>5005400</v>
      </c>
      <c r="F1594">
        <f t="shared" si="13"/>
        <v>8</v>
      </c>
    </row>
    <row r="1595" spans="1:6">
      <c r="A1595">
        <v>5005400</v>
      </c>
      <c r="B1595">
        <v>2017</v>
      </c>
      <c r="C1595" s="10" t="s">
        <v>91</v>
      </c>
      <c r="D1595" s="15">
        <v>79374</v>
      </c>
      <c r="E1595">
        <f>IFERROR(VLOOKUP(C1595,'LEAID Match'!$A$2:$B$214,2,FALSE),"")</f>
        <v>5005400</v>
      </c>
      <c r="F1595">
        <f t="shared" si="13"/>
        <v>8</v>
      </c>
    </row>
    <row r="1596" spans="1:6">
      <c r="A1596">
        <v>5005400</v>
      </c>
      <c r="B1596">
        <v>2018</v>
      </c>
      <c r="C1596" s="10" t="s">
        <v>91</v>
      </c>
      <c r="D1596" s="15">
        <v>106897</v>
      </c>
      <c r="E1596">
        <f>IFERROR(VLOOKUP(C1596,'LEAID Match'!$A$2:$B$214,2,FALSE),"")</f>
        <v>5005400</v>
      </c>
      <c r="F1596">
        <f t="shared" si="13"/>
        <v>8</v>
      </c>
    </row>
    <row r="1597" spans="1:6">
      <c r="A1597">
        <v>5005400</v>
      </c>
      <c r="B1597">
        <v>2019</v>
      </c>
      <c r="C1597" s="10" t="s">
        <v>91</v>
      </c>
      <c r="D1597" s="15">
        <v>106051</v>
      </c>
      <c r="E1597">
        <f>IFERROR(VLOOKUP(C1597,'LEAID Match'!$A$2:$B$214,2,FALSE),"")</f>
        <v>5005400</v>
      </c>
      <c r="F1597">
        <f t="shared" si="13"/>
        <v>8</v>
      </c>
    </row>
    <row r="1598" spans="1:6">
      <c r="A1598">
        <v>5005400</v>
      </c>
      <c r="B1598">
        <v>2020</v>
      </c>
      <c r="C1598" s="10" t="s">
        <v>91</v>
      </c>
      <c r="D1598" s="15">
        <v>117190</v>
      </c>
      <c r="E1598">
        <f>IFERROR(VLOOKUP(C1598,'LEAID Match'!$A$2:$B$214,2,FALSE),"")</f>
        <v>5005400</v>
      </c>
      <c r="F1598">
        <f t="shared" si="13"/>
        <v>8</v>
      </c>
    </row>
    <row r="1599" spans="1:6">
      <c r="A1599">
        <v>5005400</v>
      </c>
      <c r="B1599">
        <v>2021</v>
      </c>
      <c r="C1599" s="10" t="s">
        <v>91</v>
      </c>
      <c r="D1599" s="15">
        <v>126789</v>
      </c>
      <c r="E1599">
        <f>IFERROR(VLOOKUP(C1599,'LEAID Match'!$A$2:$B$214,2,FALSE),"")</f>
        <v>5005400</v>
      </c>
      <c r="F1599">
        <f t="shared" si="13"/>
        <v>8</v>
      </c>
    </row>
    <row r="1600" spans="1:6">
      <c r="A1600">
        <v>5005400</v>
      </c>
      <c r="B1600">
        <v>2022</v>
      </c>
      <c r="C1600" s="10" t="s">
        <v>91</v>
      </c>
      <c r="D1600" s="15">
        <v>311507</v>
      </c>
      <c r="E1600">
        <f>IFERROR(VLOOKUP(C1600,'LEAID Match'!$A$2:$B$214,2,FALSE),"")</f>
        <v>5005400</v>
      </c>
      <c r="F1600">
        <f t="shared" si="13"/>
        <v>8</v>
      </c>
    </row>
    <row r="1601" spans="1:6">
      <c r="A1601">
        <v>5005370</v>
      </c>
      <c r="B1601">
        <v>2015</v>
      </c>
      <c r="C1601" s="10" t="s">
        <v>90</v>
      </c>
      <c r="D1601" s="15">
        <v>382324.31</v>
      </c>
      <c r="E1601">
        <f>IFERROR(VLOOKUP(C1601,'LEAID Match'!$A$2:$B$214,2,FALSE),"")</f>
        <v>5005370</v>
      </c>
      <c r="F1601">
        <f t="shared" si="13"/>
        <v>8</v>
      </c>
    </row>
    <row r="1602" spans="1:6">
      <c r="A1602">
        <v>5005370</v>
      </c>
      <c r="B1602">
        <v>2016</v>
      </c>
      <c r="C1602" s="10" t="s">
        <v>90</v>
      </c>
      <c r="D1602" s="15">
        <v>349495.35</v>
      </c>
      <c r="E1602">
        <f>IFERROR(VLOOKUP(C1602,'LEAID Match'!$A$2:$B$214,2,FALSE),"")</f>
        <v>5005370</v>
      </c>
      <c r="F1602">
        <f t="shared" ref="F1602:F1665" si="14">COUNTIF($A$705:$A$2272,A1602)</f>
        <v>8</v>
      </c>
    </row>
    <row r="1603" spans="1:6">
      <c r="A1603">
        <v>5005370</v>
      </c>
      <c r="B1603">
        <v>2017</v>
      </c>
      <c r="C1603" s="10" t="s">
        <v>90</v>
      </c>
      <c r="D1603" s="15">
        <v>302723</v>
      </c>
      <c r="E1603">
        <f>IFERROR(VLOOKUP(C1603,'LEAID Match'!$A$2:$B$214,2,FALSE),"")</f>
        <v>5005370</v>
      </c>
      <c r="F1603">
        <f t="shared" si="14"/>
        <v>8</v>
      </c>
    </row>
    <row r="1604" spans="1:6">
      <c r="A1604">
        <v>5005370</v>
      </c>
      <c r="B1604">
        <v>2018</v>
      </c>
      <c r="C1604" s="10" t="s">
        <v>90</v>
      </c>
      <c r="D1604" s="15">
        <v>428040</v>
      </c>
      <c r="E1604">
        <f>IFERROR(VLOOKUP(C1604,'LEAID Match'!$A$2:$B$214,2,FALSE),"")</f>
        <v>5005370</v>
      </c>
      <c r="F1604">
        <f t="shared" si="14"/>
        <v>8</v>
      </c>
    </row>
    <row r="1605" spans="1:6">
      <c r="A1605">
        <v>5005370</v>
      </c>
      <c r="B1605">
        <v>2019</v>
      </c>
      <c r="C1605" s="10" t="s">
        <v>90</v>
      </c>
      <c r="D1605" s="15">
        <v>0</v>
      </c>
      <c r="E1605">
        <f>IFERROR(VLOOKUP(C1605,'LEAID Match'!$A$2:$B$214,2,FALSE),"")</f>
        <v>5005370</v>
      </c>
      <c r="F1605">
        <f t="shared" si="14"/>
        <v>8</v>
      </c>
    </row>
    <row r="1606" spans="1:6">
      <c r="A1606">
        <v>5005370</v>
      </c>
      <c r="B1606">
        <v>2020</v>
      </c>
      <c r="C1606" s="10" t="s">
        <v>90</v>
      </c>
      <c r="D1606" s="15">
        <v>0</v>
      </c>
      <c r="E1606">
        <f>IFERROR(VLOOKUP(C1606,'LEAID Match'!$A$2:$B$214,2,FALSE),"")</f>
        <v>5005370</v>
      </c>
      <c r="F1606">
        <f t="shared" si="14"/>
        <v>8</v>
      </c>
    </row>
    <row r="1607" spans="1:6">
      <c r="A1607">
        <v>5005370</v>
      </c>
      <c r="B1607">
        <v>2021</v>
      </c>
      <c r="C1607" s="10" t="s">
        <v>90</v>
      </c>
      <c r="D1607" s="15">
        <v>0</v>
      </c>
      <c r="E1607">
        <f>IFERROR(VLOOKUP(C1607,'LEAID Match'!$A$2:$B$214,2,FALSE),"")</f>
        <v>5005370</v>
      </c>
      <c r="F1607">
        <f t="shared" si="14"/>
        <v>8</v>
      </c>
    </row>
    <row r="1608" spans="1:6">
      <c r="A1608">
        <v>5005370</v>
      </c>
      <c r="B1608">
        <v>2022</v>
      </c>
      <c r="C1608" s="10" t="s">
        <v>90</v>
      </c>
      <c r="D1608" s="15">
        <v>0</v>
      </c>
      <c r="E1608">
        <f>IFERROR(VLOOKUP(C1608,'LEAID Match'!$A$2:$B$214,2,FALSE),"")</f>
        <v>5005370</v>
      </c>
      <c r="F1608">
        <f t="shared" si="14"/>
        <v>8</v>
      </c>
    </row>
    <row r="1609" spans="1:6">
      <c r="A1609">
        <v>5005310</v>
      </c>
      <c r="B1609">
        <v>2015</v>
      </c>
      <c r="C1609" s="10" t="s">
        <v>89</v>
      </c>
      <c r="D1609" s="15">
        <v>232795.12</v>
      </c>
      <c r="E1609">
        <f>IFERROR(VLOOKUP(C1609,'LEAID Match'!$A$2:$B$214,2,FALSE),"")</f>
        <v>5005310</v>
      </c>
      <c r="F1609">
        <f t="shared" si="14"/>
        <v>8</v>
      </c>
    </row>
    <row r="1610" spans="1:6">
      <c r="A1610">
        <v>5005310</v>
      </c>
      <c r="B1610">
        <v>2016</v>
      </c>
      <c r="C1610" s="10" t="s">
        <v>89</v>
      </c>
      <c r="D1610" s="15">
        <v>263960.57</v>
      </c>
      <c r="E1610">
        <f>IFERROR(VLOOKUP(C1610,'LEAID Match'!$A$2:$B$214,2,FALSE),"")</f>
        <v>5005310</v>
      </c>
      <c r="F1610">
        <f t="shared" si="14"/>
        <v>8</v>
      </c>
    </row>
    <row r="1611" spans="1:6">
      <c r="A1611">
        <v>5005310</v>
      </c>
      <c r="B1611">
        <v>2017</v>
      </c>
      <c r="C1611" s="10" t="s">
        <v>89</v>
      </c>
      <c r="D1611" s="15">
        <v>290334</v>
      </c>
      <c r="E1611">
        <f>IFERROR(VLOOKUP(C1611,'LEAID Match'!$A$2:$B$214,2,FALSE),"")</f>
        <v>5005310</v>
      </c>
      <c r="F1611">
        <f t="shared" si="14"/>
        <v>8</v>
      </c>
    </row>
    <row r="1612" spans="1:6">
      <c r="A1612">
        <v>5005310</v>
      </c>
      <c r="B1612">
        <v>2018</v>
      </c>
      <c r="C1612" s="10" t="s">
        <v>89</v>
      </c>
      <c r="D1612" s="15">
        <v>422610</v>
      </c>
      <c r="E1612">
        <f>IFERROR(VLOOKUP(C1612,'LEAID Match'!$A$2:$B$214,2,FALSE),"")</f>
        <v>5005310</v>
      </c>
      <c r="F1612">
        <f t="shared" si="14"/>
        <v>8</v>
      </c>
    </row>
    <row r="1613" spans="1:6">
      <c r="A1613">
        <v>5005310</v>
      </c>
      <c r="B1613">
        <v>2019</v>
      </c>
      <c r="C1613" s="10" t="s">
        <v>89</v>
      </c>
      <c r="D1613" s="15">
        <v>0</v>
      </c>
      <c r="E1613">
        <f>IFERROR(VLOOKUP(C1613,'LEAID Match'!$A$2:$B$214,2,FALSE),"")</f>
        <v>5005310</v>
      </c>
      <c r="F1613">
        <f t="shared" si="14"/>
        <v>8</v>
      </c>
    </row>
    <row r="1614" spans="1:6">
      <c r="A1614">
        <v>5005310</v>
      </c>
      <c r="B1614">
        <v>2020</v>
      </c>
      <c r="C1614" s="10" t="s">
        <v>89</v>
      </c>
      <c r="D1614" s="15">
        <v>0</v>
      </c>
      <c r="E1614">
        <f>IFERROR(VLOOKUP(C1614,'LEAID Match'!$A$2:$B$214,2,FALSE),"")</f>
        <v>5005310</v>
      </c>
      <c r="F1614">
        <f t="shared" si="14"/>
        <v>8</v>
      </c>
    </row>
    <row r="1615" spans="1:6">
      <c r="A1615">
        <v>5005310</v>
      </c>
      <c r="B1615">
        <v>2021</v>
      </c>
      <c r="C1615" s="10" t="s">
        <v>89</v>
      </c>
      <c r="D1615" s="15">
        <v>0</v>
      </c>
      <c r="E1615">
        <f>IFERROR(VLOOKUP(C1615,'LEAID Match'!$A$2:$B$214,2,FALSE),"")</f>
        <v>5005310</v>
      </c>
      <c r="F1615">
        <f t="shared" si="14"/>
        <v>8</v>
      </c>
    </row>
    <row r="1616" spans="1:6">
      <c r="A1616">
        <v>5005310</v>
      </c>
      <c r="B1616">
        <v>2022</v>
      </c>
      <c r="C1616" s="10" t="s">
        <v>89</v>
      </c>
      <c r="D1616" s="15">
        <v>0</v>
      </c>
      <c r="E1616">
        <f>IFERROR(VLOOKUP(C1616,'LEAID Match'!$A$2:$B$214,2,FALSE),"")</f>
        <v>5005310</v>
      </c>
      <c r="F1616">
        <f t="shared" si="14"/>
        <v>8</v>
      </c>
    </row>
    <row r="1617" spans="1:6">
      <c r="A1617">
        <v>5005280</v>
      </c>
      <c r="B1617">
        <v>2015</v>
      </c>
      <c r="C1617" s="10" t="s">
        <v>88</v>
      </c>
      <c r="D1617" s="15">
        <v>70414.19</v>
      </c>
      <c r="E1617">
        <f>IFERROR(VLOOKUP(C1617,'LEAID Match'!$A$2:$B$214,2,FALSE),"")</f>
        <v>5005280</v>
      </c>
      <c r="F1617">
        <f t="shared" si="14"/>
        <v>8</v>
      </c>
    </row>
    <row r="1618" spans="1:6">
      <c r="A1618">
        <v>5005280</v>
      </c>
      <c r="B1618">
        <v>2016</v>
      </c>
      <c r="C1618" s="10" t="s">
        <v>88</v>
      </c>
      <c r="D1618" s="15">
        <v>65108.02</v>
      </c>
      <c r="E1618">
        <f>IFERROR(VLOOKUP(C1618,'LEAID Match'!$A$2:$B$214,2,FALSE),"")</f>
        <v>5005280</v>
      </c>
      <c r="F1618">
        <f t="shared" si="14"/>
        <v>8</v>
      </c>
    </row>
    <row r="1619" spans="1:6">
      <c r="A1619">
        <v>5005280</v>
      </c>
      <c r="B1619">
        <v>2017</v>
      </c>
      <c r="C1619" s="10" t="s">
        <v>88</v>
      </c>
      <c r="D1619" s="15">
        <v>66030</v>
      </c>
      <c r="E1619">
        <f>IFERROR(VLOOKUP(C1619,'LEAID Match'!$A$2:$B$214,2,FALSE),"")</f>
        <v>5005280</v>
      </c>
      <c r="F1619">
        <f t="shared" si="14"/>
        <v>8</v>
      </c>
    </row>
    <row r="1620" spans="1:6">
      <c r="A1620">
        <v>5005280</v>
      </c>
      <c r="B1620">
        <v>2018</v>
      </c>
      <c r="C1620" s="10" t="s">
        <v>88</v>
      </c>
      <c r="D1620" s="15">
        <v>95511</v>
      </c>
      <c r="E1620">
        <f>IFERROR(VLOOKUP(C1620,'LEAID Match'!$A$2:$B$214,2,FALSE),"")</f>
        <v>5005280</v>
      </c>
      <c r="F1620">
        <f t="shared" si="14"/>
        <v>8</v>
      </c>
    </row>
    <row r="1621" spans="1:6">
      <c r="A1621">
        <v>5005280</v>
      </c>
      <c r="B1621">
        <v>2019</v>
      </c>
      <c r="C1621" s="10" t="s">
        <v>88</v>
      </c>
      <c r="D1621" s="15">
        <v>0</v>
      </c>
      <c r="E1621">
        <f>IFERROR(VLOOKUP(C1621,'LEAID Match'!$A$2:$B$214,2,FALSE),"")</f>
        <v>5005280</v>
      </c>
      <c r="F1621">
        <f t="shared" si="14"/>
        <v>8</v>
      </c>
    </row>
    <row r="1622" spans="1:6">
      <c r="A1622">
        <v>5005280</v>
      </c>
      <c r="B1622">
        <v>2020</v>
      </c>
      <c r="C1622" s="10" t="s">
        <v>88</v>
      </c>
      <c r="D1622" s="15">
        <v>0</v>
      </c>
      <c r="E1622">
        <f>IFERROR(VLOOKUP(C1622,'LEAID Match'!$A$2:$B$214,2,FALSE),"")</f>
        <v>5005280</v>
      </c>
      <c r="F1622">
        <f t="shared" si="14"/>
        <v>8</v>
      </c>
    </row>
    <row r="1623" spans="1:6">
      <c r="A1623">
        <v>5005280</v>
      </c>
      <c r="B1623">
        <v>2021</v>
      </c>
      <c r="C1623" s="10" t="s">
        <v>88</v>
      </c>
      <c r="D1623" s="15">
        <v>0</v>
      </c>
      <c r="E1623">
        <f>IFERROR(VLOOKUP(C1623,'LEAID Match'!$A$2:$B$214,2,FALSE),"")</f>
        <v>5005280</v>
      </c>
      <c r="F1623">
        <f t="shared" si="14"/>
        <v>8</v>
      </c>
    </row>
    <row r="1624" spans="1:6">
      <c r="A1624">
        <v>5005280</v>
      </c>
      <c r="B1624">
        <v>2022</v>
      </c>
      <c r="C1624" s="10" t="s">
        <v>88</v>
      </c>
      <c r="D1624" s="15">
        <v>0</v>
      </c>
      <c r="E1624">
        <f>IFERROR(VLOOKUP(C1624,'LEAID Match'!$A$2:$B$214,2,FALSE),"")</f>
        <v>5005280</v>
      </c>
      <c r="F1624">
        <f t="shared" si="14"/>
        <v>8</v>
      </c>
    </row>
    <row r="1625" spans="1:6">
      <c r="A1625">
        <v>5005250</v>
      </c>
      <c r="B1625">
        <v>2015</v>
      </c>
      <c r="C1625" s="10" t="s">
        <v>87</v>
      </c>
      <c r="D1625" s="15">
        <v>123315.1</v>
      </c>
      <c r="E1625">
        <f>IFERROR(VLOOKUP(C1625,'LEAID Match'!$A$2:$B$214,2,FALSE),"")</f>
        <v>5005250</v>
      </c>
      <c r="F1625">
        <f t="shared" si="14"/>
        <v>8</v>
      </c>
    </row>
    <row r="1626" spans="1:6">
      <c r="A1626">
        <v>5005250</v>
      </c>
      <c r="B1626">
        <v>2016</v>
      </c>
      <c r="C1626" s="10" t="s">
        <v>87</v>
      </c>
      <c r="D1626" s="15">
        <v>91612.91</v>
      </c>
      <c r="E1626">
        <f>IFERROR(VLOOKUP(C1626,'LEAID Match'!$A$2:$B$214,2,FALSE),"")</f>
        <v>5005250</v>
      </c>
      <c r="F1626">
        <f t="shared" si="14"/>
        <v>8</v>
      </c>
    </row>
    <row r="1627" spans="1:6">
      <c r="A1627">
        <v>5005250</v>
      </c>
      <c r="B1627">
        <v>2017</v>
      </c>
      <c r="C1627" s="10" t="s">
        <v>87</v>
      </c>
      <c r="D1627" s="15">
        <v>91352</v>
      </c>
      <c r="E1627">
        <f>IFERROR(VLOOKUP(C1627,'LEAID Match'!$A$2:$B$214,2,FALSE),"")</f>
        <v>5005250</v>
      </c>
      <c r="F1627">
        <f t="shared" si="14"/>
        <v>8</v>
      </c>
    </row>
    <row r="1628" spans="1:6">
      <c r="A1628">
        <v>5005250</v>
      </c>
      <c r="B1628">
        <v>2018</v>
      </c>
      <c r="C1628" s="10" t="s">
        <v>87</v>
      </c>
      <c r="D1628" s="15">
        <v>119459</v>
      </c>
      <c r="E1628">
        <f>IFERROR(VLOOKUP(C1628,'LEAID Match'!$A$2:$B$214,2,FALSE),"")</f>
        <v>5005250</v>
      </c>
      <c r="F1628">
        <f t="shared" si="14"/>
        <v>8</v>
      </c>
    </row>
    <row r="1629" spans="1:6">
      <c r="A1629">
        <v>5005250</v>
      </c>
      <c r="B1629">
        <v>2019</v>
      </c>
      <c r="C1629" s="10" t="s">
        <v>87</v>
      </c>
      <c r="D1629" s="15">
        <v>0</v>
      </c>
      <c r="E1629">
        <f>IFERROR(VLOOKUP(C1629,'LEAID Match'!$A$2:$B$214,2,FALSE),"")</f>
        <v>5005250</v>
      </c>
      <c r="F1629">
        <f t="shared" si="14"/>
        <v>8</v>
      </c>
    </row>
    <row r="1630" spans="1:6">
      <c r="A1630">
        <v>5005250</v>
      </c>
      <c r="B1630">
        <v>2020</v>
      </c>
      <c r="C1630" s="10" t="s">
        <v>87</v>
      </c>
      <c r="D1630" s="15">
        <v>0</v>
      </c>
      <c r="E1630">
        <f>IFERROR(VLOOKUP(C1630,'LEAID Match'!$A$2:$B$214,2,FALSE),"")</f>
        <v>5005250</v>
      </c>
      <c r="F1630">
        <f t="shared" si="14"/>
        <v>8</v>
      </c>
    </row>
    <row r="1631" spans="1:6">
      <c r="A1631">
        <v>5005250</v>
      </c>
      <c r="B1631">
        <v>2021</v>
      </c>
      <c r="C1631" s="10" t="s">
        <v>87</v>
      </c>
      <c r="D1631" s="15">
        <v>0</v>
      </c>
      <c r="E1631">
        <f>IFERROR(VLOOKUP(C1631,'LEAID Match'!$A$2:$B$214,2,FALSE),"")</f>
        <v>5005250</v>
      </c>
      <c r="F1631">
        <f t="shared" si="14"/>
        <v>8</v>
      </c>
    </row>
    <row r="1632" spans="1:6">
      <c r="A1632">
        <v>5005250</v>
      </c>
      <c r="B1632">
        <v>2022</v>
      </c>
      <c r="C1632" s="10" t="s">
        <v>87</v>
      </c>
      <c r="D1632" s="15">
        <v>0</v>
      </c>
      <c r="E1632">
        <f>IFERROR(VLOOKUP(C1632,'LEAID Match'!$A$2:$B$214,2,FALSE),"")</f>
        <v>5005250</v>
      </c>
      <c r="F1632">
        <f t="shared" si="14"/>
        <v>8</v>
      </c>
    </row>
    <row r="1633" spans="1:6">
      <c r="A1633">
        <v>5005220</v>
      </c>
      <c r="B1633">
        <v>2015</v>
      </c>
      <c r="C1633" s="10" t="s">
        <v>86</v>
      </c>
      <c r="D1633" s="15">
        <v>85803.12</v>
      </c>
      <c r="E1633">
        <f>IFERROR(VLOOKUP(C1633,'LEAID Match'!$A$2:$B$214,2,FALSE),"")</f>
        <v>5005220</v>
      </c>
      <c r="F1633">
        <f t="shared" si="14"/>
        <v>8</v>
      </c>
    </row>
    <row r="1634" spans="1:6">
      <c r="A1634">
        <v>5005220</v>
      </c>
      <c r="B1634">
        <v>2016</v>
      </c>
      <c r="C1634" s="10" t="s">
        <v>86</v>
      </c>
      <c r="D1634" s="15">
        <v>90139.67</v>
      </c>
      <c r="E1634">
        <f>IFERROR(VLOOKUP(C1634,'LEAID Match'!$A$2:$B$214,2,FALSE),"")</f>
        <v>5005220</v>
      </c>
      <c r="F1634">
        <f t="shared" si="14"/>
        <v>8</v>
      </c>
    </row>
    <row r="1635" spans="1:6">
      <c r="A1635">
        <v>5005220</v>
      </c>
      <c r="B1635">
        <v>2017</v>
      </c>
      <c r="C1635" s="10" t="s">
        <v>86</v>
      </c>
      <c r="D1635" s="15">
        <v>84406</v>
      </c>
      <c r="E1635">
        <f>IFERROR(VLOOKUP(C1635,'LEAID Match'!$A$2:$B$214,2,FALSE),"")</f>
        <v>5005220</v>
      </c>
      <c r="F1635">
        <f t="shared" si="14"/>
        <v>8</v>
      </c>
    </row>
    <row r="1636" spans="1:6">
      <c r="A1636">
        <v>5005220</v>
      </c>
      <c r="B1636">
        <v>2018</v>
      </c>
      <c r="C1636" s="10" t="s">
        <v>86</v>
      </c>
      <c r="D1636" s="15">
        <v>105068</v>
      </c>
      <c r="E1636">
        <f>IFERROR(VLOOKUP(C1636,'LEAID Match'!$A$2:$B$214,2,FALSE),"")</f>
        <v>5005220</v>
      </c>
      <c r="F1636">
        <f t="shared" si="14"/>
        <v>8</v>
      </c>
    </row>
    <row r="1637" spans="1:6">
      <c r="A1637">
        <v>5005220</v>
      </c>
      <c r="B1637">
        <v>2019</v>
      </c>
      <c r="C1637" s="10" t="s">
        <v>86</v>
      </c>
      <c r="D1637" s="15">
        <v>90585</v>
      </c>
      <c r="E1637">
        <f>IFERROR(VLOOKUP(C1637,'LEAID Match'!$A$2:$B$214,2,FALSE),"")</f>
        <v>5005220</v>
      </c>
      <c r="F1637">
        <f t="shared" si="14"/>
        <v>8</v>
      </c>
    </row>
    <row r="1638" spans="1:6">
      <c r="A1638">
        <v>5005220</v>
      </c>
      <c r="B1638">
        <v>2020</v>
      </c>
      <c r="C1638" s="10" t="s">
        <v>86</v>
      </c>
      <c r="D1638" s="15">
        <v>93591</v>
      </c>
      <c r="E1638">
        <f>IFERROR(VLOOKUP(C1638,'LEAID Match'!$A$2:$B$214,2,FALSE),"")</f>
        <v>5005220</v>
      </c>
      <c r="F1638">
        <f t="shared" si="14"/>
        <v>8</v>
      </c>
    </row>
    <row r="1639" spans="1:6">
      <c r="A1639">
        <v>5005220</v>
      </c>
      <c r="B1639">
        <v>2021</v>
      </c>
      <c r="C1639" s="10" t="s">
        <v>86</v>
      </c>
      <c r="D1639" s="15">
        <v>111255</v>
      </c>
      <c r="E1639">
        <f>IFERROR(VLOOKUP(C1639,'LEAID Match'!$A$2:$B$214,2,FALSE),"")</f>
        <v>5005220</v>
      </c>
      <c r="F1639">
        <f t="shared" si="14"/>
        <v>8</v>
      </c>
    </row>
    <row r="1640" spans="1:6">
      <c r="A1640">
        <v>5005220</v>
      </c>
      <c r="B1640">
        <v>2022</v>
      </c>
      <c r="C1640" s="10" t="s">
        <v>86</v>
      </c>
      <c r="D1640" s="15">
        <v>285955</v>
      </c>
      <c r="E1640">
        <f>IFERROR(VLOOKUP(C1640,'LEAID Match'!$A$2:$B$214,2,FALSE),"")</f>
        <v>5005220</v>
      </c>
      <c r="F1640">
        <f t="shared" si="14"/>
        <v>8</v>
      </c>
    </row>
    <row r="1641" spans="1:6">
      <c r="A1641">
        <v>5005160</v>
      </c>
      <c r="B1641">
        <v>2015</v>
      </c>
      <c r="C1641" s="10" t="s">
        <v>85</v>
      </c>
      <c r="D1641" s="15">
        <v>95710.96</v>
      </c>
      <c r="E1641">
        <f>IFERROR(VLOOKUP(C1641,'LEAID Match'!$A$2:$B$214,2,FALSE),"")</f>
        <v>5005160</v>
      </c>
      <c r="F1641">
        <f t="shared" si="14"/>
        <v>8</v>
      </c>
    </row>
    <row r="1642" spans="1:6">
      <c r="A1642">
        <v>5005160</v>
      </c>
      <c r="B1642">
        <v>2016</v>
      </c>
      <c r="C1642" s="10" t="s">
        <v>85</v>
      </c>
      <c r="D1642" s="15">
        <v>77454.45</v>
      </c>
      <c r="E1642">
        <f>IFERROR(VLOOKUP(C1642,'LEAID Match'!$A$2:$B$214,2,FALSE),"")</f>
        <v>5005160</v>
      </c>
      <c r="F1642">
        <f t="shared" si="14"/>
        <v>8</v>
      </c>
    </row>
    <row r="1643" spans="1:6">
      <c r="A1643">
        <v>5005160</v>
      </c>
      <c r="B1643">
        <v>2017</v>
      </c>
      <c r="C1643" s="10" t="s">
        <v>85</v>
      </c>
      <c r="D1643" s="15">
        <v>85658</v>
      </c>
      <c r="E1643">
        <f>IFERROR(VLOOKUP(C1643,'LEAID Match'!$A$2:$B$214,2,FALSE),"")</f>
        <v>5005160</v>
      </c>
      <c r="F1643">
        <f t="shared" si="14"/>
        <v>8</v>
      </c>
    </row>
    <row r="1644" spans="1:6">
      <c r="A1644">
        <v>5005160</v>
      </c>
      <c r="B1644">
        <v>2018</v>
      </c>
      <c r="C1644" s="10" t="s">
        <v>85</v>
      </c>
      <c r="D1644" s="15">
        <v>122397</v>
      </c>
      <c r="E1644">
        <f>IFERROR(VLOOKUP(C1644,'LEAID Match'!$A$2:$B$214,2,FALSE),"")</f>
        <v>5005160</v>
      </c>
      <c r="F1644">
        <f t="shared" si="14"/>
        <v>8</v>
      </c>
    </row>
    <row r="1645" spans="1:6">
      <c r="A1645">
        <v>5005160</v>
      </c>
      <c r="B1645">
        <v>2019</v>
      </c>
      <c r="C1645" s="10" t="s">
        <v>85</v>
      </c>
      <c r="D1645" s="15">
        <v>0</v>
      </c>
      <c r="E1645">
        <f>IFERROR(VLOOKUP(C1645,'LEAID Match'!$A$2:$B$214,2,FALSE),"")</f>
        <v>5005160</v>
      </c>
      <c r="F1645">
        <f t="shared" si="14"/>
        <v>8</v>
      </c>
    </row>
    <row r="1646" spans="1:6">
      <c r="A1646">
        <v>5005160</v>
      </c>
      <c r="B1646">
        <v>2020</v>
      </c>
      <c r="C1646" s="10" t="s">
        <v>85</v>
      </c>
      <c r="D1646" s="15">
        <v>0</v>
      </c>
      <c r="E1646">
        <f>IFERROR(VLOOKUP(C1646,'LEAID Match'!$A$2:$B$214,2,FALSE),"")</f>
        <v>5005160</v>
      </c>
      <c r="F1646">
        <f t="shared" si="14"/>
        <v>8</v>
      </c>
    </row>
    <row r="1647" spans="1:6">
      <c r="A1647">
        <v>5005160</v>
      </c>
      <c r="B1647">
        <v>2021</v>
      </c>
      <c r="C1647" s="10" t="s">
        <v>85</v>
      </c>
      <c r="D1647" s="15">
        <v>0</v>
      </c>
      <c r="E1647">
        <f>IFERROR(VLOOKUP(C1647,'LEAID Match'!$A$2:$B$214,2,FALSE),"")</f>
        <v>5005160</v>
      </c>
      <c r="F1647">
        <f t="shared" si="14"/>
        <v>8</v>
      </c>
    </row>
    <row r="1648" spans="1:6">
      <c r="A1648">
        <v>5005160</v>
      </c>
      <c r="B1648">
        <v>2022</v>
      </c>
      <c r="C1648" s="10" t="s">
        <v>85</v>
      </c>
      <c r="D1648" s="15">
        <v>0</v>
      </c>
      <c r="E1648">
        <f>IFERROR(VLOOKUP(C1648,'LEAID Match'!$A$2:$B$214,2,FALSE),"")</f>
        <v>5005160</v>
      </c>
      <c r="F1648">
        <f t="shared" si="14"/>
        <v>8</v>
      </c>
    </row>
    <row r="1649" spans="1:6">
      <c r="A1649">
        <v>5005120</v>
      </c>
      <c r="B1649">
        <v>2015</v>
      </c>
      <c r="C1649" s="10" t="s">
        <v>261</v>
      </c>
      <c r="D1649" s="15">
        <v>259753.46</v>
      </c>
      <c r="E1649">
        <f>IFERROR(VLOOKUP(C1649,'LEAID Match'!$A$2:$B$214,2,FALSE),"")</f>
        <v>5005120</v>
      </c>
      <c r="F1649">
        <f t="shared" si="14"/>
        <v>8</v>
      </c>
    </row>
    <row r="1650" spans="1:6">
      <c r="A1650">
        <v>5005120</v>
      </c>
      <c r="B1650">
        <v>2016</v>
      </c>
      <c r="C1650" s="10" t="s">
        <v>261</v>
      </c>
      <c r="D1650" s="15">
        <v>250914.06</v>
      </c>
      <c r="E1650">
        <f>IFERROR(VLOOKUP(C1650,'LEAID Match'!$A$2:$B$214,2,FALSE),"")</f>
        <v>5005120</v>
      </c>
      <c r="F1650">
        <f t="shared" si="14"/>
        <v>8</v>
      </c>
    </row>
    <row r="1651" spans="1:6">
      <c r="A1651">
        <v>5005120</v>
      </c>
      <c r="B1651">
        <v>2017</v>
      </c>
      <c r="C1651" s="10" t="s">
        <v>261</v>
      </c>
      <c r="D1651" s="15">
        <v>265370</v>
      </c>
      <c r="E1651">
        <f>IFERROR(VLOOKUP(C1651,'LEAID Match'!$A$2:$B$214,2,FALSE),"")</f>
        <v>5005120</v>
      </c>
      <c r="F1651">
        <f t="shared" si="14"/>
        <v>8</v>
      </c>
    </row>
    <row r="1652" spans="1:6">
      <c r="A1652">
        <v>5005120</v>
      </c>
      <c r="B1652">
        <v>2018</v>
      </c>
      <c r="C1652" s="10" t="s">
        <v>261</v>
      </c>
      <c r="D1652" s="15">
        <v>361756</v>
      </c>
      <c r="E1652">
        <f>IFERROR(VLOOKUP(C1652,'LEAID Match'!$A$2:$B$214,2,FALSE),"")</f>
        <v>5005120</v>
      </c>
      <c r="F1652">
        <f t="shared" si="14"/>
        <v>8</v>
      </c>
    </row>
    <row r="1653" spans="1:6">
      <c r="A1653">
        <v>5005120</v>
      </c>
      <c r="B1653">
        <v>2019</v>
      </c>
      <c r="C1653" s="10" t="s">
        <v>261</v>
      </c>
      <c r="D1653" s="15">
        <v>352656</v>
      </c>
      <c r="E1653">
        <f>IFERROR(VLOOKUP(C1653,'LEAID Match'!$A$2:$B$214,2,FALSE),"")</f>
        <v>5005120</v>
      </c>
      <c r="F1653">
        <f t="shared" si="14"/>
        <v>8</v>
      </c>
    </row>
    <row r="1654" spans="1:6">
      <c r="A1654">
        <v>5005120</v>
      </c>
      <c r="B1654">
        <v>2020</v>
      </c>
      <c r="C1654" s="10" t="s">
        <v>261</v>
      </c>
      <c r="D1654" s="15">
        <v>0</v>
      </c>
      <c r="E1654">
        <f>IFERROR(VLOOKUP(C1654,'LEAID Match'!$A$2:$B$214,2,FALSE),"")</f>
        <v>5005120</v>
      </c>
      <c r="F1654">
        <f t="shared" si="14"/>
        <v>8</v>
      </c>
    </row>
    <row r="1655" spans="1:6">
      <c r="A1655">
        <v>5005120</v>
      </c>
      <c r="B1655">
        <v>2021</v>
      </c>
      <c r="C1655" s="10" t="s">
        <v>261</v>
      </c>
      <c r="D1655" s="15">
        <v>0</v>
      </c>
      <c r="E1655">
        <f>IFERROR(VLOOKUP(C1655,'LEAID Match'!$A$2:$B$214,2,FALSE),"")</f>
        <v>5005120</v>
      </c>
      <c r="F1655">
        <f t="shared" si="14"/>
        <v>8</v>
      </c>
    </row>
    <row r="1656" spans="1:6">
      <c r="A1656">
        <v>5005120</v>
      </c>
      <c r="B1656">
        <v>2022</v>
      </c>
      <c r="C1656" s="10" t="s">
        <v>261</v>
      </c>
      <c r="D1656" s="15">
        <v>0</v>
      </c>
      <c r="E1656">
        <f>IFERROR(VLOOKUP(C1656,'LEAID Match'!$A$2:$B$214,2,FALSE),"")</f>
        <v>5005120</v>
      </c>
      <c r="F1656">
        <f t="shared" si="14"/>
        <v>8</v>
      </c>
    </row>
    <row r="1657" spans="1:6">
      <c r="A1657">
        <v>5005050</v>
      </c>
      <c r="B1657">
        <v>2015</v>
      </c>
      <c r="C1657" s="10" t="s">
        <v>246</v>
      </c>
      <c r="D1657" s="15">
        <v>250028.77</v>
      </c>
      <c r="E1657">
        <f>IFERROR(VLOOKUP(C1657,'LEAID Match'!$A$2:$B$214,2,FALSE),"")</f>
        <v>5005050</v>
      </c>
      <c r="F1657">
        <f t="shared" si="14"/>
        <v>8</v>
      </c>
    </row>
    <row r="1658" spans="1:6">
      <c r="A1658">
        <v>5005050</v>
      </c>
      <c r="B1658">
        <v>2016</v>
      </c>
      <c r="C1658" s="10" t="s">
        <v>246</v>
      </c>
      <c r="D1658" s="15">
        <v>226366.79</v>
      </c>
      <c r="E1658">
        <f>IFERROR(VLOOKUP(C1658,'LEAID Match'!$A$2:$B$214,2,FALSE),"")</f>
        <v>5005050</v>
      </c>
      <c r="F1658">
        <f t="shared" si="14"/>
        <v>8</v>
      </c>
    </row>
    <row r="1659" spans="1:6">
      <c r="A1659">
        <v>5005050</v>
      </c>
      <c r="B1659">
        <v>2017</v>
      </c>
      <c r="C1659" s="10" t="s">
        <v>246</v>
      </c>
      <c r="D1659" s="15">
        <v>247468</v>
      </c>
      <c r="E1659">
        <f>IFERROR(VLOOKUP(C1659,'LEAID Match'!$A$2:$B$214,2,FALSE),"")</f>
        <v>5005050</v>
      </c>
      <c r="F1659">
        <f t="shared" si="14"/>
        <v>8</v>
      </c>
    </row>
    <row r="1660" spans="1:6">
      <c r="A1660">
        <v>5005050</v>
      </c>
      <c r="B1660">
        <v>2018</v>
      </c>
      <c r="C1660" s="10" t="s">
        <v>246</v>
      </c>
      <c r="D1660" s="15">
        <v>347665</v>
      </c>
      <c r="E1660">
        <f>IFERROR(VLOOKUP(C1660,'LEAID Match'!$A$2:$B$214,2,FALSE),"")</f>
        <v>5005050</v>
      </c>
      <c r="F1660">
        <f t="shared" si="14"/>
        <v>8</v>
      </c>
    </row>
    <row r="1661" spans="1:6">
      <c r="A1661">
        <v>5005050</v>
      </c>
      <c r="B1661">
        <v>2019</v>
      </c>
      <c r="C1661" s="10" t="s">
        <v>246</v>
      </c>
      <c r="D1661" s="15">
        <v>352851</v>
      </c>
      <c r="E1661">
        <f>IFERROR(VLOOKUP(C1661,'LEAID Match'!$A$2:$B$214,2,FALSE),"")</f>
        <v>5005050</v>
      </c>
      <c r="F1661">
        <f t="shared" si="14"/>
        <v>8</v>
      </c>
    </row>
    <row r="1662" spans="1:6">
      <c r="A1662">
        <v>5005050</v>
      </c>
      <c r="B1662">
        <v>2020</v>
      </c>
      <c r="C1662" s="10" t="s">
        <v>246</v>
      </c>
      <c r="D1662" s="15">
        <v>387051</v>
      </c>
      <c r="E1662">
        <f>IFERROR(VLOOKUP(C1662,'LEAID Match'!$A$2:$B$214,2,FALSE),"")</f>
        <v>5005050</v>
      </c>
      <c r="F1662">
        <f t="shared" si="14"/>
        <v>8</v>
      </c>
    </row>
    <row r="1663" spans="1:6">
      <c r="A1663">
        <v>5005050</v>
      </c>
      <c r="B1663">
        <v>2021</v>
      </c>
      <c r="C1663" s="10" t="s">
        <v>246</v>
      </c>
      <c r="D1663" s="15">
        <v>400107</v>
      </c>
      <c r="E1663">
        <f>IFERROR(VLOOKUP(C1663,'LEAID Match'!$A$2:$B$214,2,FALSE),"")</f>
        <v>5005050</v>
      </c>
      <c r="F1663">
        <f t="shared" si="14"/>
        <v>8</v>
      </c>
    </row>
    <row r="1664" spans="1:6">
      <c r="A1664">
        <v>5005050</v>
      </c>
      <c r="B1664">
        <v>2022</v>
      </c>
      <c r="C1664" s="10" t="s">
        <v>246</v>
      </c>
      <c r="D1664" s="15">
        <v>1074215</v>
      </c>
      <c r="E1664">
        <f>IFERROR(VLOOKUP(C1664,'LEAID Match'!$A$2:$B$214,2,FALSE),"")</f>
        <v>5005050</v>
      </c>
      <c r="F1664">
        <f t="shared" si="14"/>
        <v>8</v>
      </c>
    </row>
    <row r="1665" spans="1:6">
      <c r="A1665">
        <v>5004960</v>
      </c>
      <c r="B1665">
        <v>2015</v>
      </c>
      <c r="C1665" s="10" t="s">
        <v>81</v>
      </c>
      <c r="D1665" s="15">
        <v>74889.710000000006</v>
      </c>
      <c r="E1665">
        <f>IFERROR(VLOOKUP(C1665,'LEAID Match'!$A$2:$B$214,2,FALSE),"")</f>
        <v>5004960</v>
      </c>
      <c r="F1665">
        <f t="shared" si="14"/>
        <v>8</v>
      </c>
    </row>
    <row r="1666" spans="1:6">
      <c r="A1666">
        <v>5004960</v>
      </c>
      <c r="B1666">
        <v>2016</v>
      </c>
      <c r="C1666" s="10" t="s">
        <v>81</v>
      </c>
      <c r="D1666" s="15">
        <v>66335.199999999997</v>
      </c>
      <c r="E1666">
        <f>IFERROR(VLOOKUP(C1666,'LEAID Match'!$A$2:$B$214,2,FALSE),"")</f>
        <v>5004960</v>
      </c>
      <c r="F1666">
        <f t="shared" ref="F1666:F1729" si="15">COUNTIF($A$705:$A$2272,A1666)</f>
        <v>8</v>
      </c>
    </row>
    <row r="1667" spans="1:6">
      <c r="A1667">
        <v>5004960</v>
      </c>
      <c r="B1667">
        <v>2017</v>
      </c>
      <c r="C1667" s="10" t="s">
        <v>81</v>
      </c>
      <c r="D1667" s="15">
        <v>59465</v>
      </c>
      <c r="E1667">
        <f>IFERROR(VLOOKUP(C1667,'LEAID Match'!$A$2:$B$214,2,FALSE),"")</f>
        <v>5004960</v>
      </c>
      <c r="F1667">
        <f t="shared" si="15"/>
        <v>8</v>
      </c>
    </row>
    <row r="1668" spans="1:6">
      <c r="A1668">
        <v>5004960</v>
      </c>
      <c r="B1668">
        <v>2018</v>
      </c>
      <c r="C1668" s="10" t="s">
        <v>81</v>
      </c>
      <c r="D1668" s="15">
        <v>78417</v>
      </c>
      <c r="E1668">
        <f>IFERROR(VLOOKUP(C1668,'LEAID Match'!$A$2:$B$214,2,FALSE),"")</f>
        <v>5004960</v>
      </c>
      <c r="F1668">
        <f t="shared" si="15"/>
        <v>8</v>
      </c>
    </row>
    <row r="1669" spans="1:6">
      <c r="A1669">
        <v>5004960</v>
      </c>
      <c r="B1669">
        <v>2019</v>
      </c>
      <c r="C1669" s="10" t="s">
        <v>81</v>
      </c>
      <c r="D1669" s="15">
        <v>79557</v>
      </c>
      <c r="E1669">
        <f>IFERROR(VLOOKUP(C1669,'LEAID Match'!$A$2:$B$214,2,FALSE),"")</f>
        <v>5004960</v>
      </c>
      <c r="F1669">
        <f t="shared" si="15"/>
        <v>8</v>
      </c>
    </row>
    <row r="1670" spans="1:6">
      <c r="A1670">
        <v>5004960</v>
      </c>
      <c r="B1670">
        <v>2020</v>
      </c>
      <c r="C1670" s="10" t="s">
        <v>81</v>
      </c>
      <c r="D1670" s="15">
        <v>99336</v>
      </c>
      <c r="E1670">
        <f>IFERROR(VLOOKUP(C1670,'LEAID Match'!$A$2:$B$214,2,FALSE),"")</f>
        <v>5004960</v>
      </c>
      <c r="F1670">
        <f t="shared" si="15"/>
        <v>8</v>
      </c>
    </row>
    <row r="1671" spans="1:6">
      <c r="A1671">
        <v>5004960</v>
      </c>
      <c r="B1671">
        <v>2021</v>
      </c>
      <c r="C1671" s="10" t="s">
        <v>81</v>
      </c>
      <c r="D1671" s="15">
        <v>108196</v>
      </c>
      <c r="E1671">
        <f>IFERROR(VLOOKUP(C1671,'LEAID Match'!$A$2:$B$214,2,FALSE),"")</f>
        <v>5004960</v>
      </c>
      <c r="F1671">
        <f t="shared" si="15"/>
        <v>8</v>
      </c>
    </row>
    <row r="1672" spans="1:6">
      <c r="A1672">
        <v>5004960</v>
      </c>
      <c r="B1672">
        <v>2022</v>
      </c>
      <c r="C1672" s="10" t="s">
        <v>81</v>
      </c>
      <c r="D1672" s="15">
        <v>268134</v>
      </c>
      <c r="E1672">
        <f>IFERROR(VLOOKUP(C1672,'LEAID Match'!$A$2:$B$214,2,FALSE),"")</f>
        <v>5004960</v>
      </c>
      <c r="F1672">
        <f t="shared" si="15"/>
        <v>8</v>
      </c>
    </row>
    <row r="1673" spans="1:6">
      <c r="A1673">
        <v>5004920</v>
      </c>
      <c r="B1673">
        <v>2015</v>
      </c>
      <c r="C1673" s="10" t="s">
        <v>80</v>
      </c>
      <c r="D1673" s="15">
        <v>45554.32</v>
      </c>
      <c r="E1673">
        <f>IFERROR(VLOOKUP(C1673,'LEAID Match'!$A$2:$B$214,2,FALSE),"")</f>
        <v>5004920</v>
      </c>
      <c r="F1673">
        <f t="shared" si="15"/>
        <v>8</v>
      </c>
    </row>
    <row r="1674" spans="1:6">
      <c r="A1674">
        <v>5004920</v>
      </c>
      <c r="B1674">
        <v>2016</v>
      </c>
      <c r="C1674" s="10" t="s">
        <v>80</v>
      </c>
      <c r="D1674" s="15">
        <v>41255.68</v>
      </c>
      <c r="E1674">
        <f>IFERROR(VLOOKUP(C1674,'LEAID Match'!$A$2:$B$214,2,FALSE),"")</f>
        <v>5004920</v>
      </c>
      <c r="F1674">
        <f t="shared" si="15"/>
        <v>8</v>
      </c>
    </row>
    <row r="1675" spans="1:6">
      <c r="A1675">
        <v>5004920</v>
      </c>
      <c r="B1675">
        <v>2017</v>
      </c>
      <c r="C1675" s="10" t="s">
        <v>80</v>
      </c>
      <c r="D1675" s="15">
        <v>45052</v>
      </c>
      <c r="E1675">
        <f>IFERROR(VLOOKUP(C1675,'LEAID Match'!$A$2:$B$214,2,FALSE),"")</f>
        <v>5004920</v>
      </c>
      <c r="F1675">
        <f t="shared" si="15"/>
        <v>8</v>
      </c>
    </row>
    <row r="1676" spans="1:6">
      <c r="A1676">
        <v>5004920</v>
      </c>
      <c r="B1676">
        <v>2018</v>
      </c>
      <c r="C1676" s="10" t="s">
        <v>80</v>
      </c>
      <c r="D1676" s="15">
        <v>63767</v>
      </c>
      <c r="E1676">
        <f>IFERROR(VLOOKUP(C1676,'LEAID Match'!$A$2:$B$214,2,FALSE),"")</f>
        <v>5004920</v>
      </c>
      <c r="F1676">
        <f t="shared" si="15"/>
        <v>8</v>
      </c>
    </row>
    <row r="1677" spans="1:6">
      <c r="A1677">
        <v>5004920</v>
      </c>
      <c r="B1677">
        <v>2019</v>
      </c>
      <c r="C1677" s="10" t="s">
        <v>80</v>
      </c>
      <c r="D1677" s="15">
        <v>67228</v>
      </c>
      <c r="E1677">
        <f>IFERROR(VLOOKUP(C1677,'LEAID Match'!$A$2:$B$214,2,FALSE),"")</f>
        <v>5004920</v>
      </c>
      <c r="F1677">
        <f t="shared" si="15"/>
        <v>8</v>
      </c>
    </row>
    <row r="1678" spans="1:6">
      <c r="A1678">
        <v>5004920</v>
      </c>
      <c r="B1678">
        <v>2020</v>
      </c>
      <c r="C1678" s="10" t="s">
        <v>80</v>
      </c>
      <c r="D1678" s="15">
        <v>0</v>
      </c>
      <c r="E1678">
        <f>IFERROR(VLOOKUP(C1678,'LEAID Match'!$A$2:$B$214,2,FALSE),"")</f>
        <v>5004920</v>
      </c>
      <c r="F1678">
        <f t="shared" si="15"/>
        <v>8</v>
      </c>
    </row>
    <row r="1679" spans="1:6">
      <c r="A1679">
        <v>5004920</v>
      </c>
      <c r="B1679">
        <v>2021</v>
      </c>
      <c r="C1679" s="10" t="s">
        <v>80</v>
      </c>
      <c r="D1679" s="15">
        <v>0</v>
      </c>
      <c r="E1679">
        <f>IFERROR(VLOOKUP(C1679,'LEAID Match'!$A$2:$B$214,2,FALSE),"")</f>
        <v>5004920</v>
      </c>
      <c r="F1679">
        <f t="shared" si="15"/>
        <v>8</v>
      </c>
    </row>
    <row r="1680" spans="1:6">
      <c r="A1680">
        <v>5004920</v>
      </c>
      <c r="B1680">
        <v>2022</v>
      </c>
      <c r="C1680" s="10" t="s">
        <v>80</v>
      </c>
      <c r="D1680" s="15">
        <v>0</v>
      </c>
      <c r="E1680">
        <f>IFERROR(VLOOKUP(C1680,'LEAID Match'!$A$2:$B$214,2,FALSE),"")</f>
        <v>5004920</v>
      </c>
      <c r="F1680">
        <f t="shared" si="15"/>
        <v>8</v>
      </c>
    </row>
    <row r="1681" spans="1:6">
      <c r="A1681">
        <v>5004890</v>
      </c>
      <c r="B1681">
        <v>2015</v>
      </c>
      <c r="C1681" s="10" t="s">
        <v>79</v>
      </c>
      <c r="D1681" s="15">
        <v>32743.5</v>
      </c>
      <c r="E1681">
        <f>IFERROR(VLOOKUP(C1681,'LEAID Match'!$A$2:$B$214,2,FALSE),"")</f>
        <v>5004890</v>
      </c>
      <c r="F1681">
        <f t="shared" si="15"/>
        <v>8</v>
      </c>
    </row>
    <row r="1682" spans="1:6">
      <c r="A1682">
        <v>5004890</v>
      </c>
      <c r="B1682">
        <v>2016</v>
      </c>
      <c r="C1682" s="10" t="s">
        <v>79</v>
      </c>
      <c r="D1682" s="15">
        <v>27868.12</v>
      </c>
      <c r="E1682">
        <f>IFERROR(VLOOKUP(C1682,'LEAID Match'!$A$2:$B$214,2,FALSE),"")</f>
        <v>5004890</v>
      </c>
      <c r="F1682">
        <f t="shared" si="15"/>
        <v>8</v>
      </c>
    </row>
    <row r="1683" spans="1:6">
      <c r="A1683">
        <v>5004890</v>
      </c>
      <c r="B1683">
        <v>2017</v>
      </c>
      <c r="C1683" s="10" t="s">
        <v>79</v>
      </c>
      <c r="D1683" s="15">
        <v>25723</v>
      </c>
      <c r="E1683">
        <f>IFERROR(VLOOKUP(C1683,'LEAID Match'!$A$2:$B$214,2,FALSE),"")</f>
        <v>5004890</v>
      </c>
      <c r="F1683">
        <f t="shared" si="15"/>
        <v>8</v>
      </c>
    </row>
    <row r="1684" spans="1:6">
      <c r="A1684">
        <v>5004890</v>
      </c>
      <c r="B1684">
        <v>2018</v>
      </c>
      <c r="C1684" s="10" t="s">
        <v>79</v>
      </c>
      <c r="D1684" s="15">
        <v>36381</v>
      </c>
      <c r="E1684">
        <f>IFERROR(VLOOKUP(C1684,'LEAID Match'!$A$2:$B$214,2,FALSE),"")</f>
        <v>5004890</v>
      </c>
      <c r="F1684">
        <f t="shared" si="15"/>
        <v>8</v>
      </c>
    </row>
    <row r="1685" spans="1:6">
      <c r="A1685">
        <v>5004890</v>
      </c>
      <c r="B1685">
        <v>2019</v>
      </c>
      <c r="C1685" s="10" t="s">
        <v>79</v>
      </c>
      <c r="D1685" s="15">
        <v>36143</v>
      </c>
      <c r="E1685">
        <f>IFERROR(VLOOKUP(C1685,'LEAID Match'!$A$2:$B$214,2,FALSE),"")</f>
        <v>5004890</v>
      </c>
      <c r="F1685">
        <f t="shared" si="15"/>
        <v>8</v>
      </c>
    </row>
    <row r="1686" spans="1:6">
      <c r="A1686">
        <v>5004890</v>
      </c>
      <c r="B1686">
        <v>2020</v>
      </c>
      <c r="C1686" s="10" t="s">
        <v>79</v>
      </c>
      <c r="D1686" s="15">
        <v>0</v>
      </c>
      <c r="E1686">
        <f>IFERROR(VLOOKUP(C1686,'LEAID Match'!$A$2:$B$214,2,FALSE),"")</f>
        <v>5004890</v>
      </c>
      <c r="F1686">
        <f t="shared" si="15"/>
        <v>8</v>
      </c>
    </row>
    <row r="1687" spans="1:6">
      <c r="A1687">
        <v>5004890</v>
      </c>
      <c r="B1687">
        <v>2021</v>
      </c>
      <c r="C1687" s="10" t="s">
        <v>79</v>
      </c>
      <c r="D1687" s="15">
        <v>0</v>
      </c>
      <c r="E1687">
        <f>IFERROR(VLOOKUP(C1687,'LEAID Match'!$A$2:$B$214,2,FALSE),"")</f>
        <v>5004890</v>
      </c>
      <c r="F1687">
        <f t="shared" si="15"/>
        <v>8</v>
      </c>
    </row>
    <row r="1688" spans="1:6">
      <c r="A1688">
        <v>5004890</v>
      </c>
      <c r="B1688">
        <v>2022</v>
      </c>
      <c r="C1688" s="10" t="s">
        <v>79</v>
      </c>
      <c r="D1688" s="15">
        <v>0</v>
      </c>
      <c r="E1688">
        <f>IFERROR(VLOOKUP(C1688,'LEAID Match'!$A$2:$B$214,2,FALSE),"")</f>
        <v>5004890</v>
      </c>
      <c r="F1688">
        <f t="shared" si="15"/>
        <v>8</v>
      </c>
    </row>
    <row r="1689" spans="1:6">
      <c r="A1689">
        <v>5004860</v>
      </c>
      <c r="B1689">
        <v>2015</v>
      </c>
      <c r="C1689" s="10" t="s">
        <v>78</v>
      </c>
      <c r="D1689" s="15">
        <v>76956.009999999995</v>
      </c>
      <c r="E1689">
        <f>IFERROR(VLOOKUP(C1689,'LEAID Match'!$A$2:$B$214,2,FALSE),"")</f>
        <v>5004860</v>
      </c>
      <c r="F1689">
        <f t="shared" si="15"/>
        <v>8</v>
      </c>
    </row>
    <row r="1690" spans="1:6">
      <c r="A1690">
        <v>5004860</v>
      </c>
      <c r="B1690">
        <v>2016</v>
      </c>
      <c r="C1690" s="10" t="s">
        <v>78</v>
      </c>
      <c r="D1690" s="15">
        <v>73275.710000000006</v>
      </c>
      <c r="E1690">
        <f>IFERROR(VLOOKUP(C1690,'LEAID Match'!$A$2:$B$214,2,FALSE),"")</f>
        <v>5004860</v>
      </c>
      <c r="F1690">
        <f t="shared" si="15"/>
        <v>8</v>
      </c>
    </row>
    <row r="1691" spans="1:6">
      <c r="A1691">
        <v>5004860</v>
      </c>
      <c r="B1691">
        <v>2017</v>
      </c>
      <c r="C1691" s="10" t="s">
        <v>78</v>
      </c>
      <c r="D1691" s="15">
        <v>80334</v>
      </c>
      <c r="E1691">
        <f>IFERROR(VLOOKUP(C1691,'LEAID Match'!$A$2:$B$214,2,FALSE),"")</f>
        <v>5004860</v>
      </c>
      <c r="F1691">
        <f t="shared" si="15"/>
        <v>8</v>
      </c>
    </row>
    <row r="1692" spans="1:6">
      <c r="A1692">
        <v>5004860</v>
      </c>
      <c r="B1692">
        <v>2018</v>
      </c>
      <c r="C1692" s="10" t="s">
        <v>78</v>
      </c>
      <c r="D1692" s="15">
        <v>99068</v>
      </c>
      <c r="E1692">
        <f>IFERROR(VLOOKUP(C1692,'LEAID Match'!$A$2:$B$214,2,FALSE),"")</f>
        <v>5004860</v>
      </c>
      <c r="F1692">
        <f t="shared" si="15"/>
        <v>8</v>
      </c>
    </row>
    <row r="1693" spans="1:6">
      <c r="A1693">
        <v>5004860</v>
      </c>
      <c r="B1693">
        <v>2019</v>
      </c>
      <c r="C1693" s="10" t="s">
        <v>78</v>
      </c>
      <c r="D1693" s="15">
        <v>104869</v>
      </c>
      <c r="E1693">
        <f>IFERROR(VLOOKUP(C1693,'LEAID Match'!$A$2:$B$214,2,FALSE),"")</f>
        <v>5004860</v>
      </c>
      <c r="F1693">
        <f t="shared" si="15"/>
        <v>8</v>
      </c>
    </row>
    <row r="1694" spans="1:6">
      <c r="A1694">
        <v>5004860</v>
      </c>
      <c r="B1694">
        <v>2020</v>
      </c>
      <c r="C1694" s="10" t="s">
        <v>78</v>
      </c>
      <c r="D1694" s="15">
        <v>0</v>
      </c>
      <c r="E1694">
        <f>IFERROR(VLOOKUP(C1694,'LEAID Match'!$A$2:$B$214,2,FALSE),"")</f>
        <v>5004860</v>
      </c>
      <c r="F1694">
        <f t="shared" si="15"/>
        <v>8</v>
      </c>
    </row>
    <row r="1695" spans="1:6">
      <c r="A1695">
        <v>5004860</v>
      </c>
      <c r="B1695">
        <v>2021</v>
      </c>
      <c r="C1695" s="10" t="s">
        <v>78</v>
      </c>
      <c r="D1695" s="15">
        <v>0</v>
      </c>
      <c r="E1695">
        <f>IFERROR(VLOOKUP(C1695,'LEAID Match'!$A$2:$B$214,2,FALSE),"")</f>
        <v>5004860</v>
      </c>
      <c r="F1695">
        <f t="shared" si="15"/>
        <v>8</v>
      </c>
    </row>
    <row r="1696" spans="1:6">
      <c r="A1696">
        <v>5004860</v>
      </c>
      <c r="B1696">
        <v>2022</v>
      </c>
      <c r="C1696" s="10" t="s">
        <v>78</v>
      </c>
      <c r="D1696" s="15">
        <v>0</v>
      </c>
      <c r="E1696">
        <f>IFERROR(VLOOKUP(C1696,'LEAID Match'!$A$2:$B$214,2,FALSE),"")</f>
        <v>5004860</v>
      </c>
      <c r="F1696">
        <f t="shared" si="15"/>
        <v>8</v>
      </c>
    </row>
    <row r="1697" spans="1:6">
      <c r="A1697">
        <v>5004770</v>
      </c>
      <c r="B1697">
        <v>2015</v>
      </c>
      <c r="C1697" s="10" t="s">
        <v>76</v>
      </c>
      <c r="D1697" s="15">
        <v>84395.68</v>
      </c>
      <c r="E1697">
        <f>IFERROR(VLOOKUP(C1697,'LEAID Match'!$A$2:$B$214,2,FALSE),"")</f>
        <v>5004770</v>
      </c>
      <c r="F1697">
        <f t="shared" si="15"/>
        <v>8</v>
      </c>
    </row>
    <row r="1698" spans="1:6">
      <c r="A1698">
        <v>5004770</v>
      </c>
      <c r="B1698">
        <v>2016</v>
      </c>
      <c r="C1698" s="10" t="s">
        <v>76</v>
      </c>
      <c r="D1698" s="15">
        <v>69471.73</v>
      </c>
      <c r="E1698">
        <f>IFERROR(VLOOKUP(C1698,'LEAID Match'!$A$2:$B$214,2,FALSE),"")</f>
        <v>5004770</v>
      </c>
      <c r="F1698">
        <f t="shared" si="15"/>
        <v>8</v>
      </c>
    </row>
    <row r="1699" spans="1:6">
      <c r="A1699">
        <v>5004770</v>
      </c>
      <c r="B1699">
        <v>2017</v>
      </c>
      <c r="C1699" s="10" t="s">
        <v>76</v>
      </c>
      <c r="D1699" s="15">
        <v>76197</v>
      </c>
      <c r="E1699">
        <f>IFERROR(VLOOKUP(C1699,'LEAID Match'!$A$2:$B$214,2,FALSE),"")</f>
        <v>5004770</v>
      </c>
      <c r="F1699">
        <f t="shared" si="15"/>
        <v>8</v>
      </c>
    </row>
    <row r="1700" spans="1:6">
      <c r="A1700">
        <v>5004770</v>
      </c>
      <c r="B1700">
        <v>2018</v>
      </c>
      <c r="C1700" s="10" t="s">
        <v>76</v>
      </c>
      <c r="D1700" s="15">
        <v>109212</v>
      </c>
      <c r="E1700">
        <f>IFERROR(VLOOKUP(C1700,'LEAID Match'!$A$2:$B$214,2,FALSE),"")</f>
        <v>5004770</v>
      </c>
      <c r="F1700">
        <f t="shared" si="15"/>
        <v>8</v>
      </c>
    </row>
    <row r="1701" spans="1:6">
      <c r="A1701">
        <v>5004770</v>
      </c>
      <c r="B1701">
        <v>2019</v>
      </c>
      <c r="C1701" s="10" t="s">
        <v>76</v>
      </c>
      <c r="D1701" s="15">
        <v>112862</v>
      </c>
      <c r="E1701">
        <f>IFERROR(VLOOKUP(C1701,'LEAID Match'!$A$2:$B$214,2,FALSE),"")</f>
        <v>5004770</v>
      </c>
      <c r="F1701">
        <f t="shared" si="15"/>
        <v>8</v>
      </c>
    </row>
    <row r="1702" spans="1:6">
      <c r="A1702">
        <v>5004770</v>
      </c>
      <c r="B1702">
        <v>2020</v>
      </c>
      <c r="C1702" s="10" t="s">
        <v>76</v>
      </c>
      <c r="D1702" s="15">
        <v>0</v>
      </c>
      <c r="E1702">
        <f>IFERROR(VLOOKUP(C1702,'LEAID Match'!$A$2:$B$214,2,FALSE),"")</f>
        <v>5004770</v>
      </c>
      <c r="F1702">
        <f t="shared" si="15"/>
        <v>8</v>
      </c>
    </row>
    <row r="1703" spans="1:6">
      <c r="A1703">
        <v>5004770</v>
      </c>
      <c r="B1703">
        <v>2021</v>
      </c>
      <c r="C1703" s="10" t="s">
        <v>76</v>
      </c>
      <c r="D1703" s="15">
        <v>0</v>
      </c>
      <c r="E1703">
        <f>IFERROR(VLOOKUP(C1703,'LEAID Match'!$A$2:$B$214,2,FALSE),"")</f>
        <v>5004770</v>
      </c>
      <c r="F1703">
        <f t="shared" si="15"/>
        <v>8</v>
      </c>
    </row>
    <row r="1704" spans="1:6">
      <c r="A1704">
        <v>5004770</v>
      </c>
      <c r="B1704">
        <v>2022</v>
      </c>
      <c r="C1704" s="10" t="s">
        <v>76</v>
      </c>
      <c r="D1704" s="15">
        <v>0</v>
      </c>
      <c r="E1704">
        <f>IFERROR(VLOOKUP(C1704,'LEAID Match'!$A$2:$B$214,2,FALSE),"")</f>
        <v>5004770</v>
      </c>
      <c r="F1704">
        <f t="shared" si="15"/>
        <v>8</v>
      </c>
    </row>
    <row r="1705" spans="1:6">
      <c r="A1705">
        <v>5004710</v>
      </c>
      <c r="B1705">
        <v>2015</v>
      </c>
      <c r="C1705" s="10" t="s">
        <v>75</v>
      </c>
      <c r="D1705" s="15">
        <v>38757.83</v>
      </c>
      <c r="E1705">
        <f>IFERROR(VLOOKUP(C1705,'LEAID Match'!$A$2:$B$214,2,FALSE),"")</f>
        <v>5004710</v>
      </c>
      <c r="F1705">
        <f t="shared" si="15"/>
        <v>8</v>
      </c>
    </row>
    <row r="1706" spans="1:6">
      <c r="A1706">
        <v>5004710</v>
      </c>
      <c r="B1706">
        <v>2016</v>
      </c>
      <c r="C1706" s="10" t="s">
        <v>75</v>
      </c>
      <c r="D1706" s="15">
        <v>35217.19</v>
      </c>
      <c r="E1706">
        <f>IFERROR(VLOOKUP(C1706,'LEAID Match'!$A$2:$B$214,2,FALSE),"")</f>
        <v>5004710</v>
      </c>
      <c r="F1706">
        <f t="shared" si="15"/>
        <v>8</v>
      </c>
    </row>
    <row r="1707" spans="1:6">
      <c r="A1707">
        <v>5004710</v>
      </c>
      <c r="B1707">
        <v>2017</v>
      </c>
      <c r="C1707" s="10" t="s">
        <v>75</v>
      </c>
      <c r="D1707" s="15">
        <v>32935</v>
      </c>
      <c r="E1707">
        <f>IFERROR(VLOOKUP(C1707,'LEAID Match'!$A$2:$B$214,2,FALSE),"")</f>
        <v>5004710</v>
      </c>
      <c r="F1707">
        <f t="shared" si="15"/>
        <v>8</v>
      </c>
    </row>
    <row r="1708" spans="1:6">
      <c r="A1708">
        <v>5004710</v>
      </c>
      <c r="B1708">
        <v>2018</v>
      </c>
      <c r="C1708" s="10" t="s">
        <v>75</v>
      </c>
      <c r="D1708" s="15">
        <v>46210</v>
      </c>
      <c r="E1708">
        <f>IFERROR(VLOOKUP(C1708,'LEAID Match'!$A$2:$B$214,2,FALSE),"")</f>
        <v>5004710</v>
      </c>
      <c r="F1708">
        <f t="shared" si="15"/>
        <v>8</v>
      </c>
    </row>
    <row r="1709" spans="1:6">
      <c r="A1709">
        <v>5004710</v>
      </c>
      <c r="B1709">
        <v>2019</v>
      </c>
      <c r="C1709" s="10" t="s">
        <v>75</v>
      </c>
      <c r="D1709" s="15">
        <v>39837</v>
      </c>
      <c r="E1709">
        <f>IFERROR(VLOOKUP(C1709,'LEAID Match'!$A$2:$B$214,2,FALSE),"")</f>
        <v>5004710</v>
      </c>
      <c r="F1709">
        <f t="shared" si="15"/>
        <v>8</v>
      </c>
    </row>
    <row r="1710" spans="1:6">
      <c r="A1710">
        <v>5004710</v>
      </c>
      <c r="B1710">
        <v>2020</v>
      </c>
      <c r="C1710" s="10" t="s">
        <v>75</v>
      </c>
      <c r="D1710" s="15">
        <v>0</v>
      </c>
      <c r="E1710">
        <f>IFERROR(VLOOKUP(C1710,'LEAID Match'!$A$2:$B$214,2,FALSE),"")</f>
        <v>5004710</v>
      </c>
      <c r="F1710">
        <f t="shared" si="15"/>
        <v>8</v>
      </c>
    </row>
    <row r="1711" spans="1:6">
      <c r="A1711">
        <v>5004710</v>
      </c>
      <c r="B1711">
        <v>2021</v>
      </c>
      <c r="C1711" s="10" t="s">
        <v>75</v>
      </c>
      <c r="D1711" s="15">
        <v>0</v>
      </c>
      <c r="E1711">
        <f>IFERROR(VLOOKUP(C1711,'LEAID Match'!$A$2:$B$214,2,FALSE),"")</f>
        <v>5004710</v>
      </c>
      <c r="F1711">
        <f t="shared" si="15"/>
        <v>8</v>
      </c>
    </row>
    <row r="1712" spans="1:6">
      <c r="A1712">
        <v>5004710</v>
      </c>
      <c r="B1712">
        <v>2022</v>
      </c>
      <c r="C1712" s="10" t="s">
        <v>75</v>
      </c>
      <c r="D1712" s="15">
        <v>0</v>
      </c>
      <c r="E1712">
        <f>IFERROR(VLOOKUP(C1712,'LEAID Match'!$A$2:$B$214,2,FALSE),"")</f>
        <v>5004710</v>
      </c>
      <c r="F1712">
        <f t="shared" si="15"/>
        <v>8</v>
      </c>
    </row>
    <row r="1713" spans="1:6">
      <c r="A1713">
        <v>5004650</v>
      </c>
      <c r="B1713">
        <v>2015</v>
      </c>
      <c r="C1713" s="10" t="s">
        <v>73</v>
      </c>
      <c r="D1713" s="15">
        <v>204858.27</v>
      </c>
      <c r="E1713">
        <f>IFERROR(VLOOKUP(C1713,'LEAID Match'!$A$2:$B$214,2,FALSE),"")</f>
        <v>5004650</v>
      </c>
      <c r="F1713">
        <f t="shared" si="15"/>
        <v>8</v>
      </c>
    </row>
    <row r="1714" spans="1:6">
      <c r="A1714">
        <v>5004650</v>
      </c>
      <c r="B1714">
        <v>2016</v>
      </c>
      <c r="C1714" s="10" t="s">
        <v>73</v>
      </c>
      <c r="D1714" s="15">
        <v>187584.95</v>
      </c>
      <c r="E1714">
        <f>IFERROR(VLOOKUP(C1714,'LEAID Match'!$A$2:$B$214,2,FALSE),"")</f>
        <v>5004650</v>
      </c>
      <c r="F1714">
        <f t="shared" si="15"/>
        <v>8</v>
      </c>
    </row>
    <row r="1715" spans="1:6">
      <c r="A1715">
        <v>5004650</v>
      </c>
      <c r="B1715">
        <v>2017</v>
      </c>
      <c r="C1715" s="10" t="s">
        <v>73</v>
      </c>
      <c r="D1715" s="15">
        <v>213988</v>
      </c>
      <c r="E1715">
        <f>IFERROR(VLOOKUP(C1715,'LEAID Match'!$A$2:$B$214,2,FALSE),"")</f>
        <v>5004650</v>
      </c>
      <c r="F1715">
        <f t="shared" si="15"/>
        <v>8</v>
      </c>
    </row>
    <row r="1716" spans="1:6">
      <c r="A1716">
        <v>5004650</v>
      </c>
      <c r="B1716">
        <v>2018</v>
      </c>
      <c r="C1716" s="10" t="s">
        <v>73</v>
      </c>
      <c r="D1716" s="15">
        <v>273430</v>
      </c>
      <c r="E1716">
        <f>IFERROR(VLOOKUP(C1716,'LEAID Match'!$A$2:$B$214,2,FALSE),"")</f>
        <v>5004650</v>
      </c>
      <c r="F1716">
        <f t="shared" si="15"/>
        <v>8</v>
      </c>
    </row>
    <row r="1717" spans="1:6">
      <c r="A1717">
        <v>5004650</v>
      </c>
      <c r="B1717">
        <v>2019</v>
      </c>
      <c r="C1717" s="10" t="s">
        <v>73</v>
      </c>
      <c r="D1717" s="15">
        <v>300207</v>
      </c>
      <c r="E1717">
        <f>IFERROR(VLOOKUP(C1717,'LEAID Match'!$A$2:$B$214,2,FALSE),"")</f>
        <v>5004650</v>
      </c>
      <c r="F1717">
        <f t="shared" si="15"/>
        <v>8</v>
      </c>
    </row>
    <row r="1718" spans="1:6">
      <c r="A1718">
        <v>5004650</v>
      </c>
      <c r="B1718">
        <v>2020</v>
      </c>
      <c r="C1718" s="10" t="s">
        <v>73</v>
      </c>
      <c r="D1718" s="15">
        <v>0</v>
      </c>
      <c r="E1718">
        <f>IFERROR(VLOOKUP(C1718,'LEAID Match'!$A$2:$B$214,2,FALSE),"")</f>
        <v>5004650</v>
      </c>
      <c r="F1718">
        <f t="shared" si="15"/>
        <v>8</v>
      </c>
    </row>
    <row r="1719" spans="1:6">
      <c r="A1719">
        <v>5004650</v>
      </c>
      <c r="B1719">
        <v>2021</v>
      </c>
      <c r="C1719" s="10" t="s">
        <v>73</v>
      </c>
      <c r="D1719" s="15">
        <v>0</v>
      </c>
      <c r="E1719">
        <f>IFERROR(VLOOKUP(C1719,'LEAID Match'!$A$2:$B$214,2,FALSE),"")</f>
        <v>5004650</v>
      </c>
      <c r="F1719">
        <f t="shared" si="15"/>
        <v>8</v>
      </c>
    </row>
    <row r="1720" spans="1:6">
      <c r="A1720">
        <v>5004650</v>
      </c>
      <c r="B1720">
        <v>2022</v>
      </c>
      <c r="C1720" s="10" t="s">
        <v>73</v>
      </c>
      <c r="D1720" s="15">
        <v>0</v>
      </c>
      <c r="E1720">
        <f>IFERROR(VLOOKUP(C1720,'LEAID Match'!$A$2:$B$214,2,FALSE),"")</f>
        <v>5004650</v>
      </c>
      <c r="F1720">
        <f t="shared" si="15"/>
        <v>8</v>
      </c>
    </row>
    <row r="1721" spans="1:6">
      <c r="A1721">
        <v>5004620</v>
      </c>
      <c r="B1721">
        <v>2015</v>
      </c>
      <c r="C1721" s="10" t="s">
        <v>72</v>
      </c>
      <c r="D1721" s="15">
        <v>213384.3</v>
      </c>
      <c r="E1721">
        <f>IFERROR(VLOOKUP(C1721,'LEAID Match'!$A$2:$B$214,2,FALSE),"")</f>
        <v>5004620</v>
      </c>
      <c r="F1721">
        <f t="shared" si="15"/>
        <v>8</v>
      </c>
    </row>
    <row r="1722" spans="1:6">
      <c r="A1722">
        <v>5004620</v>
      </c>
      <c r="B1722">
        <v>2016</v>
      </c>
      <c r="C1722" s="10" t="s">
        <v>72</v>
      </c>
      <c r="D1722" s="15">
        <v>203054.16</v>
      </c>
      <c r="E1722">
        <f>IFERROR(VLOOKUP(C1722,'LEAID Match'!$A$2:$B$214,2,FALSE),"")</f>
        <v>5004620</v>
      </c>
      <c r="F1722">
        <f t="shared" si="15"/>
        <v>8</v>
      </c>
    </row>
    <row r="1723" spans="1:6">
      <c r="A1723">
        <v>5004620</v>
      </c>
      <c r="B1723">
        <v>2017</v>
      </c>
      <c r="C1723" s="10" t="s">
        <v>72</v>
      </c>
      <c r="D1723" s="15">
        <v>210214</v>
      </c>
      <c r="E1723">
        <f>IFERROR(VLOOKUP(C1723,'LEAID Match'!$A$2:$B$214,2,FALSE),"")</f>
        <v>5004620</v>
      </c>
      <c r="F1723">
        <f t="shared" si="15"/>
        <v>8</v>
      </c>
    </row>
    <row r="1724" spans="1:6">
      <c r="A1724">
        <v>5004620</v>
      </c>
      <c r="B1724">
        <v>2018</v>
      </c>
      <c r="C1724" s="10" t="s">
        <v>72</v>
      </c>
      <c r="D1724" s="15">
        <v>292080</v>
      </c>
      <c r="E1724">
        <f>IFERROR(VLOOKUP(C1724,'LEAID Match'!$A$2:$B$214,2,FALSE),"")</f>
        <v>5004620</v>
      </c>
      <c r="F1724">
        <f t="shared" si="15"/>
        <v>8</v>
      </c>
    </row>
    <row r="1725" spans="1:6">
      <c r="A1725">
        <v>5004620</v>
      </c>
      <c r="B1725">
        <v>2019</v>
      </c>
      <c r="C1725" s="10" t="s">
        <v>72</v>
      </c>
      <c r="D1725" s="15">
        <v>299755</v>
      </c>
      <c r="E1725">
        <f>IFERROR(VLOOKUP(C1725,'LEAID Match'!$A$2:$B$214,2,FALSE),"")</f>
        <v>5004620</v>
      </c>
      <c r="F1725">
        <f t="shared" si="15"/>
        <v>8</v>
      </c>
    </row>
    <row r="1726" spans="1:6">
      <c r="A1726">
        <v>5004620</v>
      </c>
      <c r="B1726">
        <v>2020</v>
      </c>
      <c r="C1726" s="10" t="s">
        <v>72</v>
      </c>
      <c r="D1726" s="15">
        <v>296146</v>
      </c>
      <c r="E1726">
        <f>IFERROR(VLOOKUP(C1726,'LEAID Match'!$A$2:$B$214,2,FALSE),"")</f>
        <v>5004620</v>
      </c>
      <c r="F1726">
        <f t="shared" si="15"/>
        <v>8</v>
      </c>
    </row>
    <row r="1727" spans="1:6">
      <c r="A1727">
        <v>5004620</v>
      </c>
      <c r="B1727">
        <v>2021</v>
      </c>
      <c r="C1727" s="10" t="s">
        <v>72</v>
      </c>
      <c r="D1727" s="15">
        <v>324946</v>
      </c>
      <c r="E1727">
        <f>IFERROR(VLOOKUP(C1727,'LEAID Match'!$A$2:$B$214,2,FALSE),"")</f>
        <v>5004620</v>
      </c>
      <c r="F1727">
        <f t="shared" si="15"/>
        <v>8</v>
      </c>
    </row>
    <row r="1728" spans="1:6">
      <c r="A1728">
        <v>5004620</v>
      </c>
      <c r="B1728">
        <v>2022</v>
      </c>
      <c r="C1728" s="10" t="s">
        <v>72</v>
      </c>
      <c r="D1728" s="15">
        <v>866472</v>
      </c>
      <c r="E1728">
        <f>IFERROR(VLOOKUP(C1728,'LEAID Match'!$A$2:$B$214,2,FALSE),"")</f>
        <v>5004620</v>
      </c>
      <c r="F1728">
        <f t="shared" si="15"/>
        <v>8</v>
      </c>
    </row>
    <row r="1729" spans="1:6">
      <c r="A1729">
        <v>5004590</v>
      </c>
      <c r="B1729">
        <v>2015</v>
      </c>
      <c r="C1729" s="10" t="s">
        <v>71</v>
      </c>
      <c r="D1729" s="15">
        <v>1599760.72</v>
      </c>
      <c r="E1729">
        <f>IFERROR(VLOOKUP(C1729,'LEAID Match'!$A$2:$B$214,2,FALSE),"")</f>
        <v>5004590</v>
      </c>
      <c r="F1729">
        <f t="shared" si="15"/>
        <v>8</v>
      </c>
    </row>
    <row r="1730" spans="1:6">
      <c r="A1730">
        <v>5004590</v>
      </c>
      <c r="B1730">
        <v>2016</v>
      </c>
      <c r="C1730" s="10" t="s">
        <v>71</v>
      </c>
      <c r="D1730" s="15">
        <v>1669683.82</v>
      </c>
      <c r="E1730">
        <f>IFERROR(VLOOKUP(C1730,'LEAID Match'!$A$2:$B$214,2,FALSE),"")</f>
        <v>5004590</v>
      </c>
      <c r="F1730">
        <f t="shared" ref="F1730:F1793" si="16">COUNTIF($A$705:$A$2272,A1730)</f>
        <v>8</v>
      </c>
    </row>
    <row r="1731" spans="1:6">
      <c r="A1731">
        <v>5004590</v>
      </c>
      <c r="B1731">
        <v>2017</v>
      </c>
      <c r="C1731" s="10" t="s">
        <v>71</v>
      </c>
      <c r="D1731" s="15">
        <v>1756593</v>
      </c>
      <c r="E1731">
        <f>IFERROR(VLOOKUP(C1731,'LEAID Match'!$A$2:$B$214,2,FALSE),"")</f>
        <v>5004590</v>
      </c>
      <c r="F1731">
        <f t="shared" si="16"/>
        <v>8</v>
      </c>
    </row>
    <row r="1732" spans="1:6">
      <c r="A1732">
        <v>5004590</v>
      </c>
      <c r="B1732">
        <v>2018</v>
      </c>
      <c r="C1732" s="10" t="s">
        <v>71</v>
      </c>
      <c r="D1732" s="15">
        <v>2472184</v>
      </c>
      <c r="E1732">
        <f>IFERROR(VLOOKUP(C1732,'LEAID Match'!$A$2:$B$214,2,FALSE),"")</f>
        <v>5004590</v>
      </c>
      <c r="F1732">
        <f t="shared" si="16"/>
        <v>8</v>
      </c>
    </row>
    <row r="1733" spans="1:6">
      <c r="A1733">
        <v>5004590</v>
      </c>
      <c r="B1733">
        <v>2019</v>
      </c>
      <c r="C1733" s="10" t="s">
        <v>71</v>
      </c>
      <c r="D1733" s="15">
        <v>2524506</v>
      </c>
      <c r="E1733">
        <f>IFERROR(VLOOKUP(C1733,'LEAID Match'!$A$2:$B$214,2,FALSE),"")</f>
        <v>5004590</v>
      </c>
      <c r="F1733">
        <f t="shared" si="16"/>
        <v>8</v>
      </c>
    </row>
    <row r="1734" spans="1:6">
      <c r="A1734">
        <v>5004590</v>
      </c>
      <c r="B1734">
        <v>2020</v>
      </c>
      <c r="C1734" s="10" t="s">
        <v>71</v>
      </c>
      <c r="D1734" s="15">
        <v>2651604</v>
      </c>
      <c r="E1734">
        <f>IFERROR(VLOOKUP(C1734,'LEAID Match'!$A$2:$B$214,2,FALSE),"")</f>
        <v>5004590</v>
      </c>
      <c r="F1734">
        <f t="shared" si="16"/>
        <v>8</v>
      </c>
    </row>
    <row r="1735" spans="1:6">
      <c r="A1735">
        <v>5004590</v>
      </c>
      <c r="B1735">
        <v>2021</v>
      </c>
      <c r="C1735" s="10" t="s">
        <v>71</v>
      </c>
      <c r="D1735" s="15">
        <v>2799793</v>
      </c>
      <c r="E1735">
        <f>IFERROR(VLOOKUP(C1735,'LEAID Match'!$A$2:$B$214,2,FALSE),"")</f>
        <v>5004590</v>
      </c>
      <c r="F1735">
        <f t="shared" si="16"/>
        <v>8</v>
      </c>
    </row>
    <row r="1736" spans="1:6">
      <c r="A1736">
        <v>5004590</v>
      </c>
      <c r="B1736">
        <v>2022</v>
      </c>
      <c r="C1736" s="10" t="s">
        <v>71</v>
      </c>
      <c r="D1736" s="15">
        <v>6715681</v>
      </c>
      <c r="E1736">
        <f>IFERROR(VLOOKUP(C1736,'LEAID Match'!$A$2:$B$214,2,FALSE),"")</f>
        <v>5004590</v>
      </c>
      <c r="F1736">
        <f t="shared" si="16"/>
        <v>8</v>
      </c>
    </row>
    <row r="1737" spans="1:6">
      <c r="A1737">
        <v>5004580</v>
      </c>
      <c r="B1737">
        <v>2015</v>
      </c>
      <c r="C1737" s="10" t="s">
        <v>239</v>
      </c>
      <c r="D1737" s="15">
        <v>598961.42000000004</v>
      </c>
      <c r="E1737">
        <f>IFERROR(VLOOKUP(C1737,'LEAID Match'!$A$2:$B$214,2,FALSE),"")</f>
        <v>5004580</v>
      </c>
      <c r="F1737">
        <f t="shared" si="16"/>
        <v>8</v>
      </c>
    </row>
    <row r="1738" spans="1:6">
      <c r="A1738">
        <v>5004580</v>
      </c>
      <c r="B1738">
        <v>2016</v>
      </c>
      <c r="C1738" s="10" t="s">
        <v>239</v>
      </c>
      <c r="D1738" s="15">
        <v>621823.81000000006</v>
      </c>
      <c r="E1738">
        <f>IFERROR(VLOOKUP(C1738,'LEAID Match'!$A$2:$B$214,2,FALSE),"")</f>
        <v>5004580</v>
      </c>
      <c r="F1738">
        <f t="shared" si="16"/>
        <v>8</v>
      </c>
    </row>
    <row r="1739" spans="1:6">
      <c r="A1739">
        <v>5004580</v>
      </c>
      <c r="B1739">
        <v>2017</v>
      </c>
      <c r="C1739" s="10" t="s">
        <v>239</v>
      </c>
      <c r="D1739" s="15">
        <v>538603</v>
      </c>
      <c r="E1739">
        <f>IFERROR(VLOOKUP(C1739,'LEAID Match'!$A$2:$B$214,2,FALSE),"")</f>
        <v>5004580</v>
      </c>
      <c r="F1739">
        <f t="shared" si="16"/>
        <v>8</v>
      </c>
    </row>
    <row r="1740" spans="1:6">
      <c r="A1740">
        <v>5004580</v>
      </c>
      <c r="B1740">
        <v>2018</v>
      </c>
      <c r="C1740" s="10" t="s">
        <v>239</v>
      </c>
      <c r="E1740">
        <f>IFERROR(VLOOKUP(C1740,'LEAID Match'!$A$2:$B$214,2,FALSE),"")</f>
        <v>5004580</v>
      </c>
      <c r="F1740">
        <f t="shared" si="16"/>
        <v>8</v>
      </c>
    </row>
    <row r="1741" spans="1:6">
      <c r="A1741">
        <v>5004580</v>
      </c>
      <c r="B1741">
        <v>2019</v>
      </c>
      <c r="C1741" s="10" t="s">
        <v>239</v>
      </c>
      <c r="D1741" s="15">
        <v>0</v>
      </c>
      <c r="E1741">
        <f>IFERROR(VLOOKUP(C1741,'LEAID Match'!$A$2:$B$214,2,FALSE),"")</f>
        <v>5004580</v>
      </c>
      <c r="F1741">
        <f t="shared" si="16"/>
        <v>8</v>
      </c>
    </row>
    <row r="1742" spans="1:6">
      <c r="A1742">
        <v>5004580</v>
      </c>
      <c r="B1742">
        <v>2020</v>
      </c>
      <c r="C1742" s="10" t="s">
        <v>239</v>
      </c>
      <c r="D1742" s="15">
        <v>13886</v>
      </c>
      <c r="E1742">
        <f>IFERROR(VLOOKUP(C1742,'LEAID Match'!$A$2:$B$214,2,FALSE),"")</f>
        <v>5004580</v>
      </c>
      <c r="F1742">
        <f t="shared" si="16"/>
        <v>8</v>
      </c>
    </row>
    <row r="1743" spans="1:6">
      <c r="A1743">
        <v>5004580</v>
      </c>
      <c r="B1743">
        <v>2021</v>
      </c>
      <c r="C1743" s="10" t="s">
        <v>239</v>
      </c>
      <c r="D1743" s="15">
        <v>0</v>
      </c>
      <c r="E1743">
        <f>IFERROR(VLOOKUP(C1743,'LEAID Match'!$A$2:$B$214,2,FALSE),"")</f>
        <v>5004580</v>
      </c>
      <c r="F1743">
        <f t="shared" si="16"/>
        <v>8</v>
      </c>
    </row>
    <row r="1744" spans="1:6">
      <c r="A1744">
        <v>5004580</v>
      </c>
      <c r="B1744">
        <v>2022</v>
      </c>
      <c r="C1744" s="10" t="s">
        <v>239</v>
      </c>
      <c r="D1744" s="15">
        <v>0</v>
      </c>
      <c r="E1744">
        <f>IFERROR(VLOOKUP(C1744,'LEAID Match'!$A$2:$B$214,2,FALSE),"")</f>
        <v>5004580</v>
      </c>
      <c r="F1744">
        <f t="shared" si="16"/>
        <v>8</v>
      </c>
    </row>
    <row r="1745" spans="1:6">
      <c r="A1745">
        <v>5004560</v>
      </c>
      <c r="B1745">
        <v>2015</v>
      </c>
      <c r="C1745" s="10" t="s">
        <v>70</v>
      </c>
      <c r="D1745" s="15">
        <v>162181.04</v>
      </c>
      <c r="E1745">
        <f>IFERROR(VLOOKUP(C1745,'LEAID Match'!$A$2:$B$214,2,FALSE),"")</f>
        <v>5004560</v>
      </c>
      <c r="F1745">
        <f t="shared" si="16"/>
        <v>8</v>
      </c>
    </row>
    <row r="1746" spans="1:6">
      <c r="A1746">
        <v>5004560</v>
      </c>
      <c r="B1746">
        <v>2016</v>
      </c>
      <c r="C1746" s="10" t="s">
        <v>70</v>
      </c>
      <c r="D1746" s="15">
        <v>154528.14000000001</v>
      </c>
      <c r="E1746">
        <f>IFERROR(VLOOKUP(C1746,'LEAID Match'!$A$2:$B$214,2,FALSE),"")</f>
        <v>5004560</v>
      </c>
      <c r="F1746">
        <f t="shared" si="16"/>
        <v>8</v>
      </c>
    </row>
    <row r="1747" spans="1:6">
      <c r="A1747">
        <v>5004560</v>
      </c>
      <c r="B1747">
        <v>2017</v>
      </c>
      <c r="C1747" s="10" t="s">
        <v>70</v>
      </c>
      <c r="D1747" s="15">
        <v>144880</v>
      </c>
      <c r="E1747">
        <f>IFERROR(VLOOKUP(C1747,'LEAID Match'!$A$2:$B$214,2,FALSE),"")</f>
        <v>5004560</v>
      </c>
      <c r="F1747">
        <f t="shared" si="16"/>
        <v>8</v>
      </c>
    </row>
    <row r="1748" spans="1:6">
      <c r="A1748">
        <v>5004560</v>
      </c>
      <c r="B1748">
        <v>2018</v>
      </c>
      <c r="C1748" s="10" t="s">
        <v>70</v>
      </c>
      <c r="D1748" s="15">
        <v>197631</v>
      </c>
      <c r="E1748">
        <f>IFERROR(VLOOKUP(C1748,'LEAID Match'!$A$2:$B$214,2,FALSE),"")</f>
        <v>5004560</v>
      </c>
      <c r="F1748">
        <f t="shared" si="16"/>
        <v>8</v>
      </c>
    </row>
    <row r="1749" spans="1:6">
      <c r="A1749">
        <v>5004560</v>
      </c>
      <c r="B1749">
        <v>2019</v>
      </c>
      <c r="C1749" s="10" t="s">
        <v>70</v>
      </c>
      <c r="D1749" s="15">
        <v>199048</v>
      </c>
      <c r="E1749">
        <f>IFERROR(VLOOKUP(C1749,'LEAID Match'!$A$2:$B$214,2,FALSE),"")</f>
        <v>5004560</v>
      </c>
      <c r="F1749">
        <f t="shared" si="16"/>
        <v>8</v>
      </c>
    </row>
    <row r="1750" spans="1:6">
      <c r="A1750">
        <v>5004560</v>
      </c>
      <c r="B1750">
        <v>2020</v>
      </c>
      <c r="C1750" s="10" t="s">
        <v>70</v>
      </c>
      <c r="D1750" s="15">
        <v>0</v>
      </c>
      <c r="E1750">
        <f>IFERROR(VLOOKUP(C1750,'LEAID Match'!$A$2:$B$214,2,FALSE),"")</f>
        <v>5004560</v>
      </c>
      <c r="F1750">
        <f t="shared" si="16"/>
        <v>8</v>
      </c>
    </row>
    <row r="1751" spans="1:6">
      <c r="A1751">
        <v>5004560</v>
      </c>
      <c r="B1751">
        <v>2021</v>
      </c>
      <c r="C1751" s="10" t="s">
        <v>70</v>
      </c>
      <c r="D1751" s="15">
        <v>0</v>
      </c>
      <c r="E1751">
        <f>IFERROR(VLOOKUP(C1751,'LEAID Match'!$A$2:$B$214,2,FALSE),"")</f>
        <v>5004560</v>
      </c>
      <c r="F1751">
        <f t="shared" si="16"/>
        <v>8</v>
      </c>
    </row>
    <row r="1752" spans="1:6">
      <c r="A1752">
        <v>5004560</v>
      </c>
      <c r="B1752">
        <v>2022</v>
      </c>
      <c r="C1752" s="10" t="s">
        <v>70</v>
      </c>
      <c r="D1752" s="15">
        <v>0</v>
      </c>
      <c r="E1752">
        <f>IFERROR(VLOOKUP(C1752,'LEAID Match'!$A$2:$B$214,2,FALSE),"")</f>
        <v>5004560</v>
      </c>
      <c r="F1752">
        <f t="shared" si="16"/>
        <v>8</v>
      </c>
    </row>
    <row r="1753" spans="1:6">
      <c r="A1753">
        <v>5004500</v>
      </c>
      <c r="B1753">
        <v>2015</v>
      </c>
      <c r="C1753" s="10" t="s">
        <v>69</v>
      </c>
      <c r="D1753" s="15">
        <v>35517.31</v>
      </c>
      <c r="E1753">
        <f>IFERROR(VLOOKUP(C1753,'LEAID Match'!$A$2:$B$214,2,FALSE),"")</f>
        <v>5004500</v>
      </c>
      <c r="F1753">
        <f t="shared" si="16"/>
        <v>8</v>
      </c>
    </row>
    <row r="1754" spans="1:6">
      <c r="A1754">
        <v>5004500</v>
      </c>
      <c r="B1754">
        <v>2016</v>
      </c>
      <c r="C1754" s="10" t="s">
        <v>69</v>
      </c>
      <c r="D1754" s="15">
        <v>30241.67</v>
      </c>
      <c r="E1754">
        <f>IFERROR(VLOOKUP(C1754,'LEAID Match'!$A$2:$B$214,2,FALSE),"")</f>
        <v>5004500</v>
      </c>
      <c r="F1754">
        <f t="shared" si="16"/>
        <v>8</v>
      </c>
    </row>
    <row r="1755" spans="1:6">
      <c r="A1755">
        <v>5004500</v>
      </c>
      <c r="B1755">
        <v>2017</v>
      </c>
      <c r="C1755" s="10" t="s">
        <v>69</v>
      </c>
      <c r="D1755" s="15">
        <v>33887</v>
      </c>
      <c r="E1755">
        <f>IFERROR(VLOOKUP(C1755,'LEAID Match'!$A$2:$B$214,2,FALSE),"")</f>
        <v>5004500</v>
      </c>
      <c r="F1755">
        <f t="shared" si="16"/>
        <v>8</v>
      </c>
    </row>
    <row r="1756" spans="1:6">
      <c r="A1756">
        <v>5004500</v>
      </c>
      <c r="B1756">
        <v>2018</v>
      </c>
      <c r="C1756" s="10" t="s">
        <v>69</v>
      </c>
      <c r="D1756" s="15">
        <v>50463</v>
      </c>
      <c r="E1756">
        <f>IFERROR(VLOOKUP(C1756,'LEAID Match'!$A$2:$B$214,2,FALSE),"")</f>
        <v>5004500</v>
      </c>
      <c r="F1756">
        <f t="shared" si="16"/>
        <v>8</v>
      </c>
    </row>
    <row r="1757" spans="1:6">
      <c r="A1757">
        <v>5004500</v>
      </c>
      <c r="B1757">
        <v>2019</v>
      </c>
      <c r="C1757" s="10" t="s">
        <v>69</v>
      </c>
      <c r="D1757" s="15">
        <v>0</v>
      </c>
      <c r="E1757">
        <f>IFERROR(VLOOKUP(C1757,'LEAID Match'!$A$2:$B$214,2,FALSE),"")</f>
        <v>5004500</v>
      </c>
      <c r="F1757">
        <f t="shared" si="16"/>
        <v>8</v>
      </c>
    </row>
    <row r="1758" spans="1:6">
      <c r="A1758">
        <v>5004500</v>
      </c>
      <c r="B1758">
        <v>2020</v>
      </c>
      <c r="C1758" s="10" t="s">
        <v>69</v>
      </c>
      <c r="D1758" s="15">
        <v>0</v>
      </c>
      <c r="E1758">
        <f>IFERROR(VLOOKUP(C1758,'LEAID Match'!$A$2:$B$214,2,FALSE),"")</f>
        <v>5004500</v>
      </c>
      <c r="F1758">
        <f t="shared" si="16"/>
        <v>8</v>
      </c>
    </row>
    <row r="1759" spans="1:6">
      <c r="A1759">
        <v>5004500</v>
      </c>
      <c r="B1759">
        <v>2021</v>
      </c>
      <c r="C1759" s="10" t="s">
        <v>69</v>
      </c>
      <c r="D1759" s="15">
        <v>0</v>
      </c>
      <c r="E1759">
        <f>IFERROR(VLOOKUP(C1759,'LEAID Match'!$A$2:$B$214,2,FALSE),"")</f>
        <v>5004500</v>
      </c>
      <c r="F1759">
        <f t="shared" si="16"/>
        <v>8</v>
      </c>
    </row>
    <row r="1760" spans="1:6">
      <c r="A1760">
        <v>5004500</v>
      </c>
      <c r="B1760">
        <v>2022</v>
      </c>
      <c r="C1760" s="10" t="s">
        <v>69</v>
      </c>
      <c r="D1760" s="15">
        <v>218379</v>
      </c>
      <c r="E1760">
        <f>IFERROR(VLOOKUP(C1760,'LEAID Match'!$A$2:$B$214,2,FALSE),"")</f>
        <v>5004500</v>
      </c>
      <c r="F1760">
        <f t="shared" si="16"/>
        <v>8</v>
      </c>
    </row>
    <row r="1761" spans="1:6">
      <c r="A1761">
        <v>5004470</v>
      </c>
      <c r="B1761">
        <v>2015</v>
      </c>
      <c r="C1761" s="10" t="s">
        <v>68</v>
      </c>
      <c r="D1761" s="15">
        <v>103948.21</v>
      </c>
      <c r="E1761">
        <f>IFERROR(VLOOKUP(C1761,'LEAID Match'!$A$2:$B$214,2,FALSE),"")</f>
        <v>5004470</v>
      </c>
      <c r="F1761">
        <f t="shared" si="16"/>
        <v>8</v>
      </c>
    </row>
    <row r="1762" spans="1:6">
      <c r="A1762">
        <v>5004470</v>
      </c>
      <c r="B1762">
        <v>2016</v>
      </c>
      <c r="C1762" s="10" t="s">
        <v>68</v>
      </c>
      <c r="D1762" s="15">
        <v>97535.38</v>
      </c>
      <c r="E1762">
        <f>IFERROR(VLOOKUP(C1762,'LEAID Match'!$A$2:$B$214,2,FALSE),"")</f>
        <v>5004470</v>
      </c>
      <c r="F1762">
        <f t="shared" si="16"/>
        <v>8</v>
      </c>
    </row>
    <row r="1763" spans="1:6">
      <c r="A1763">
        <v>5004470</v>
      </c>
      <c r="B1763">
        <v>2017</v>
      </c>
      <c r="C1763" s="10" t="s">
        <v>68</v>
      </c>
      <c r="D1763" s="15">
        <v>107833</v>
      </c>
      <c r="E1763">
        <f>IFERROR(VLOOKUP(C1763,'LEAID Match'!$A$2:$B$214,2,FALSE),"")</f>
        <v>5004470</v>
      </c>
      <c r="F1763">
        <f t="shared" si="16"/>
        <v>8</v>
      </c>
    </row>
    <row r="1764" spans="1:6">
      <c r="A1764">
        <v>5004470</v>
      </c>
      <c r="B1764">
        <v>2018</v>
      </c>
      <c r="C1764" s="10" t="s">
        <v>68</v>
      </c>
      <c r="D1764" s="15">
        <v>150542</v>
      </c>
      <c r="E1764">
        <f>IFERROR(VLOOKUP(C1764,'LEAID Match'!$A$2:$B$214,2,FALSE),"")</f>
        <v>5004470</v>
      </c>
      <c r="F1764">
        <f t="shared" si="16"/>
        <v>8</v>
      </c>
    </row>
    <row r="1765" spans="1:6">
      <c r="A1765">
        <v>5004470</v>
      </c>
      <c r="B1765">
        <v>2019</v>
      </c>
      <c r="C1765" s="10" t="s">
        <v>68</v>
      </c>
      <c r="D1765" s="15">
        <v>156077</v>
      </c>
      <c r="E1765">
        <f>IFERROR(VLOOKUP(C1765,'LEAID Match'!$A$2:$B$214,2,FALSE),"")</f>
        <v>5004470</v>
      </c>
      <c r="F1765">
        <f t="shared" si="16"/>
        <v>8</v>
      </c>
    </row>
    <row r="1766" spans="1:6">
      <c r="A1766">
        <v>5004470</v>
      </c>
      <c r="B1766">
        <v>2020</v>
      </c>
      <c r="C1766" s="10" t="s">
        <v>68</v>
      </c>
      <c r="D1766" s="15">
        <v>0</v>
      </c>
      <c r="E1766">
        <f>IFERROR(VLOOKUP(C1766,'LEAID Match'!$A$2:$B$214,2,FALSE),"")</f>
        <v>5004470</v>
      </c>
      <c r="F1766">
        <f t="shared" si="16"/>
        <v>8</v>
      </c>
    </row>
    <row r="1767" spans="1:6">
      <c r="A1767">
        <v>5004470</v>
      </c>
      <c r="B1767">
        <v>2021</v>
      </c>
      <c r="C1767" s="10" t="s">
        <v>68</v>
      </c>
      <c r="D1767" s="15">
        <v>0</v>
      </c>
      <c r="E1767">
        <f>IFERROR(VLOOKUP(C1767,'LEAID Match'!$A$2:$B$214,2,FALSE),"")</f>
        <v>5004470</v>
      </c>
      <c r="F1767">
        <f t="shared" si="16"/>
        <v>8</v>
      </c>
    </row>
    <row r="1768" spans="1:6">
      <c r="A1768">
        <v>5004470</v>
      </c>
      <c r="B1768">
        <v>2022</v>
      </c>
      <c r="C1768" s="10" t="s">
        <v>68</v>
      </c>
      <c r="D1768" s="15">
        <v>0</v>
      </c>
      <c r="E1768">
        <f>IFERROR(VLOOKUP(C1768,'LEAID Match'!$A$2:$B$214,2,FALSE),"")</f>
        <v>5004470</v>
      </c>
      <c r="F1768">
        <f t="shared" si="16"/>
        <v>8</v>
      </c>
    </row>
    <row r="1769" spans="1:6">
      <c r="A1769">
        <v>5004290</v>
      </c>
      <c r="B1769">
        <v>2015</v>
      </c>
      <c r="C1769" s="10" t="s">
        <v>65</v>
      </c>
      <c r="D1769" s="15">
        <v>160722.5</v>
      </c>
      <c r="E1769">
        <f>IFERROR(VLOOKUP(C1769,'LEAID Match'!$A$2:$B$214,2,FALSE),"")</f>
        <v>5004290</v>
      </c>
      <c r="F1769">
        <f t="shared" si="16"/>
        <v>8</v>
      </c>
    </row>
    <row r="1770" spans="1:6">
      <c r="A1770">
        <v>5004290</v>
      </c>
      <c r="B1770">
        <v>2016</v>
      </c>
      <c r="C1770" s="10" t="s">
        <v>65</v>
      </c>
      <c r="D1770" s="15">
        <v>153387.59</v>
      </c>
      <c r="E1770">
        <f>IFERROR(VLOOKUP(C1770,'LEAID Match'!$A$2:$B$214,2,FALSE),"")</f>
        <v>5004290</v>
      </c>
      <c r="F1770">
        <f t="shared" si="16"/>
        <v>8</v>
      </c>
    </row>
    <row r="1771" spans="1:6">
      <c r="A1771">
        <v>5004290</v>
      </c>
      <c r="B1771">
        <v>2017</v>
      </c>
      <c r="C1771" s="10" t="s">
        <v>65</v>
      </c>
      <c r="D1771" s="15">
        <v>133629</v>
      </c>
      <c r="E1771">
        <f>IFERROR(VLOOKUP(C1771,'LEAID Match'!$A$2:$B$214,2,FALSE),"")</f>
        <v>5004290</v>
      </c>
      <c r="F1771">
        <f t="shared" si="16"/>
        <v>8</v>
      </c>
    </row>
    <row r="1772" spans="1:6">
      <c r="A1772">
        <v>5004290</v>
      </c>
      <c r="B1772">
        <v>2018</v>
      </c>
      <c r="C1772" s="10" t="s">
        <v>65</v>
      </c>
      <c r="D1772" s="15">
        <v>185215</v>
      </c>
      <c r="E1772">
        <f>IFERROR(VLOOKUP(C1772,'LEAID Match'!$A$2:$B$214,2,FALSE),"")</f>
        <v>5004290</v>
      </c>
      <c r="F1772">
        <f t="shared" si="16"/>
        <v>8</v>
      </c>
    </row>
    <row r="1773" spans="1:6">
      <c r="A1773">
        <v>5004290</v>
      </c>
      <c r="B1773">
        <v>2019</v>
      </c>
      <c r="C1773" s="10" t="s">
        <v>65</v>
      </c>
      <c r="D1773" s="15">
        <v>177736</v>
      </c>
      <c r="E1773">
        <f>IFERROR(VLOOKUP(C1773,'LEAID Match'!$A$2:$B$214,2,FALSE),"")</f>
        <v>5004290</v>
      </c>
      <c r="F1773">
        <f t="shared" si="16"/>
        <v>8</v>
      </c>
    </row>
    <row r="1774" spans="1:6">
      <c r="A1774">
        <v>5004290</v>
      </c>
      <c r="B1774">
        <v>2020</v>
      </c>
      <c r="C1774" s="10" t="s">
        <v>65</v>
      </c>
      <c r="D1774" s="15">
        <v>0</v>
      </c>
      <c r="E1774">
        <f>IFERROR(VLOOKUP(C1774,'LEAID Match'!$A$2:$B$214,2,FALSE),"")</f>
        <v>5004290</v>
      </c>
      <c r="F1774">
        <f t="shared" si="16"/>
        <v>8</v>
      </c>
    </row>
    <row r="1775" spans="1:6">
      <c r="A1775">
        <v>5004290</v>
      </c>
      <c r="B1775">
        <v>2021</v>
      </c>
      <c r="C1775" s="10" t="s">
        <v>65</v>
      </c>
      <c r="D1775" s="15">
        <v>0</v>
      </c>
      <c r="E1775">
        <f>IFERROR(VLOOKUP(C1775,'LEAID Match'!$A$2:$B$214,2,FALSE),"")</f>
        <v>5004290</v>
      </c>
      <c r="F1775">
        <f t="shared" si="16"/>
        <v>8</v>
      </c>
    </row>
    <row r="1776" spans="1:6">
      <c r="A1776">
        <v>5004290</v>
      </c>
      <c r="B1776">
        <v>2022</v>
      </c>
      <c r="C1776" s="10" t="s">
        <v>65</v>
      </c>
      <c r="D1776" s="15">
        <v>0</v>
      </c>
      <c r="E1776">
        <f>IFERROR(VLOOKUP(C1776,'LEAID Match'!$A$2:$B$214,2,FALSE),"")</f>
        <v>5004290</v>
      </c>
      <c r="F1776">
        <f t="shared" si="16"/>
        <v>8</v>
      </c>
    </row>
    <row r="1777" spans="1:6">
      <c r="A1777">
        <v>5004230</v>
      </c>
      <c r="B1777">
        <v>2015</v>
      </c>
      <c r="C1777" s="10" t="s">
        <v>64</v>
      </c>
      <c r="D1777" s="15">
        <v>51727.35</v>
      </c>
      <c r="E1777">
        <f>IFERROR(VLOOKUP(C1777,'LEAID Match'!$A$2:$B$214,2,FALSE),"")</f>
        <v>5004230</v>
      </c>
      <c r="F1777">
        <f t="shared" si="16"/>
        <v>8</v>
      </c>
    </row>
    <row r="1778" spans="1:6">
      <c r="A1778">
        <v>5004230</v>
      </c>
      <c r="B1778">
        <v>2016</v>
      </c>
      <c r="C1778" s="10" t="s">
        <v>64</v>
      </c>
      <c r="D1778" s="15">
        <v>59494.74</v>
      </c>
      <c r="E1778">
        <f>IFERROR(VLOOKUP(C1778,'LEAID Match'!$A$2:$B$214,2,FALSE),"")</f>
        <v>5004230</v>
      </c>
      <c r="F1778">
        <f t="shared" si="16"/>
        <v>8</v>
      </c>
    </row>
    <row r="1779" spans="1:6">
      <c r="A1779">
        <v>5004230</v>
      </c>
      <c r="B1779">
        <v>2017</v>
      </c>
      <c r="C1779" s="10" t="s">
        <v>64</v>
      </c>
      <c r="D1779" s="15">
        <v>66294</v>
      </c>
      <c r="E1779">
        <f>IFERROR(VLOOKUP(C1779,'LEAID Match'!$A$2:$B$214,2,FALSE),"")</f>
        <v>5004230</v>
      </c>
      <c r="F1779">
        <f t="shared" si="16"/>
        <v>8</v>
      </c>
    </row>
    <row r="1780" spans="1:6">
      <c r="A1780">
        <v>5004230</v>
      </c>
      <c r="B1780">
        <v>2018</v>
      </c>
      <c r="C1780" s="10" t="s">
        <v>64</v>
      </c>
      <c r="D1780" s="15">
        <v>88742</v>
      </c>
      <c r="E1780">
        <f>IFERROR(VLOOKUP(C1780,'LEAID Match'!$A$2:$B$214,2,FALSE),"")</f>
        <v>5004230</v>
      </c>
      <c r="F1780">
        <f t="shared" si="16"/>
        <v>8</v>
      </c>
    </row>
    <row r="1781" spans="1:6">
      <c r="A1781">
        <v>5004230</v>
      </c>
      <c r="B1781">
        <v>2019</v>
      </c>
      <c r="C1781" s="10" t="s">
        <v>64</v>
      </c>
      <c r="D1781" s="15">
        <v>93851</v>
      </c>
      <c r="E1781">
        <f>IFERROR(VLOOKUP(C1781,'LEAID Match'!$A$2:$B$214,2,FALSE),"")</f>
        <v>5004230</v>
      </c>
      <c r="F1781">
        <f t="shared" si="16"/>
        <v>8</v>
      </c>
    </row>
    <row r="1782" spans="1:6">
      <c r="A1782">
        <v>5004230</v>
      </c>
      <c r="B1782">
        <v>2020</v>
      </c>
      <c r="C1782" s="10" t="s">
        <v>64</v>
      </c>
      <c r="D1782" s="15">
        <v>0</v>
      </c>
      <c r="E1782">
        <f>IFERROR(VLOOKUP(C1782,'LEAID Match'!$A$2:$B$214,2,FALSE),"")</f>
        <v>5004230</v>
      </c>
      <c r="F1782">
        <f t="shared" si="16"/>
        <v>8</v>
      </c>
    </row>
    <row r="1783" spans="1:6">
      <c r="A1783">
        <v>5004230</v>
      </c>
      <c r="B1783">
        <v>2021</v>
      </c>
      <c r="C1783" s="10" t="s">
        <v>64</v>
      </c>
      <c r="D1783" s="15">
        <v>0</v>
      </c>
      <c r="E1783">
        <f>IFERROR(VLOOKUP(C1783,'LEAID Match'!$A$2:$B$214,2,FALSE),"")</f>
        <v>5004230</v>
      </c>
      <c r="F1783">
        <f t="shared" si="16"/>
        <v>8</v>
      </c>
    </row>
    <row r="1784" spans="1:6">
      <c r="A1784">
        <v>5004230</v>
      </c>
      <c r="B1784">
        <v>2022</v>
      </c>
      <c r="C1784" s="10" t="s">
        <v>64</v>
      </c>
      <c r="D1784" s="15">
        <v>0</v>
      </c>
      <c r="E1784">
        <f>IFERROR(VLOOKUP(C1784,'LEAID Match'!$A$2:$B$214,2,FALSE),"")</f>
        <v>5004230</v>
      </c>
      <c r="F1784">
        <f t="shared" si="16"/>
        <v>8</v>
      </c>
    </row>
    <row r="1785" spans="1:6">
      <c r="A1785">
        <v>5004170</v>
      </c>
      <c r="B1785">
        <v>2015</v>
      </c>
      <c r="C1785" s="10" t="s">
        <v>63</v>
      </c>
      <c r="D1785" s="15">
        <v>79808.259999999995</v>
      </c>
      <c r="E1785">
        <f>IFERROR(VLOOKUP(C1785,'LEAID Match'!$A$2:$B$214,2,FALSE),"")</f>
        <v>5004170</v>
      </c>
      <c r="F1785">
        <f t="shared" si="16"/>
        <v>8</v>
      </c>
    </row>
    <row r="1786" spans="1:6">
      <c r="A1786">
        <v>5004170</v>
      </c>
      <c r="B1786">
        <v>2016</v>
      </c>
      <c r="C1786" s="10" t="s">
        <v>63</v>
      </c>
      <c r="D1786" s="15">
        <v>71823.289999999994</v>
      </c>
      <c r="E1786">
        <f>IFERROR(VLOOKUP(C1786,'LEAID Match'!$A$2:$B$214,2,FALSE),"")</f>
        <v>5004170</v>
      </c>
      <c r="F1786">
        <f t="shared" si="16"/>
        <v>8</v>
      </c>
    </row>
    <row r="1787" spans="1:6">
      <c r="A1787">
        <v>5004170</v>
      </c>
      <c r="B1787">
        <v>2017</v>
      </c>
      <c r="C1787" s="10" t="s">
        <v>63</v>
      </c>
      <c r="D1787" s="15">
        <v>75439</v>
      </c>
      <c r="E1787">
        <f>IFERROR(VLOOKUP(C1787,'LEAID Match'!$A$2:$B$214,2,FALSE),"")</f>
        <v>5004170</v>
      </c>
      <c r="F1787">
        <f t="shared" si="16"/>
        <v>8</v>
      </c>
    </row>
    <row r="1788" spans="1:6">
      <c r="A1788">
        <v>5004170</v>
      </c>
      <c r="B1788">
        <v>2018</v>
      </c>
      <c r="C1788" s="10" t="s">
        <v>63</v>
      </c>
      <c r="D1788" s="15">
        <v>98228</v>
      </c>
      <c r="E1788">
        <f>IFERROR(VLOOKUP(C1788,'LEAID Match'!$A$2:$B$214,2,FALSE),"")</f>
        <v>5004170</v>
      </c>
      <c r="F1788">
        <f t="shared" si="16"/>
        <v>8</v>
      </c>
    </row>
    <row r="1789" spans="1:6">
      <c r="A1789">
        <v>5004170</v>
      </c>
      <c r="B1789">
        <v>2019</v>
      </c>
      <c r="C1789" s="10" t="s">
        <v>63</v>
      </c>
      <c r="D1789" s="15">
        <v>99907</v>
      </c>
      <c r="E1789">
        <f>IFERROR(VLOOKUP(C1789,'LEAID Match'!$A$2:$B$214,2,FALSE),"")</f>
        <v>5004170</v>
      </c>
      <c r="F1789">
        <f t="shared" si="16"/>
        <v>8</v>
      </c>
    </row>
    <row r="1790" spans="1:6">
      <c r="A1790">
        <v>5004170</v>
      </c>
      <c r="B1790">
        <v>2020</v>
      </c>
      <c r="C1790" s="10" t="s">
        <v>63</v>
      </c>
      <c r="D1790" s="15">
        <v>0</v>
      </c>
      <c r="E1790">
        <f>IFERROR(VLOOKUP(C1790,'LEAID Match'!$A$2:$B$214,2,FALSE),"")</f>
        <v>5004170</v>
      </c>
      <c r="F1790">
        <f t="shared" si="16"/>
        <v>8</v>
      </c>
    </row>
    <row r="1791" spans="1:6">
      <c r="A1791">
        <v>5004170</v>
      </c>
      <c r="B1791">
        <v>2021</v>
      </c>
      <c r="C1791" s="10" t="s">
        <v>63</v>
      </c>
      <c r="D1791" s="15">
        <v>0</v>
      </c>
      <c r="E1791">
        <f>IFERROR(VLOOKUP(C1791,'LEAID Match'!$A$2:$B$214,2,FALSE),"")</f>
        <v>5004170</v>
      </c>
      <c r="F1791">
        <f t="shared" si="16"/>
        <v>8</v>
      </c>
    </row>
    <row r="1792" spans="1:6">
      <c r="A1792">
        <v>5004170</v>
      </c>
      <c r="B1792">
        <v>2022</v>
      </c>
      <c r="C1792" s="10" t="s">
        <v>63</v>
      </c>
      <c r="D1792" s="15">
        <v>0</v>
      </c>
      <c r="E1792">
        <f>IFERROR(VLOOKUP(C1792,'LEAID Match'!$A$2:$B$214,2,FALSE),"")</f>
        <v>5004170</v>
      </c>
      <c r="F1792">
        <f t="shared" si="16"/>
        <v>8</v>
      </c>
    </row>
    <row r="1793" spans="1:6">
      <c r="A1793">
        <v>5004140</v>
      </c>
      <c r="B1793">
        <v>2015</v>
      </c>
      <c r="C1793" s="10" t="s">
        <v>62</v>
      </c>
      <c r="D1793" s="15">
        <v>388968.24</v>
      </c>
      <c r="E1793">
        <f>IFERROR(VLOOKUP(C1793,'LEAID Match'!$A$2:$B$214,2,FALSE),"")</f>
        <v>5004140</v>
      </c>
      <c r="F1793">
        <f t="shared" si="16"/>
        <v>8</v>
      </c>
    </row>
    <row r="1794" spans="1:6">
      <c r="A1794">
        <v>5004140</v>
      </c>
      <c r="B1794">
        <v>2016</v>
      </c>
      <c r="C1794" s="10" t="s">
        <v>62</v>
      </c>
      <c r="D1794" s="15">
        <v>370513.18</v>
      </c>
      <c r="E1794">
        <f>IFERROR(VLOOKUP(C1794,'LEAID Match'!$A$2:$B$214,2,FALSE),"")</f>
        <v>5004140</v>
      </c>
      <c r="F1794">
        <f t="shared" ref="F1794:F1857" si="17">COUNTIF($A$705:$A$2272,A1794)</f>
        <v>8</v>
      </c>
    </row>
    <row r="1795" spans="1:6">
      <c r="A1795">
        <v>5004140</v>
      </c>
      <c r="B1795">
        <v>2017</v>
      </c>
      <c r="C1795" s="10" t="s">
        <v>62</v>
      </c>
      <c r="D1795" s="15">
        <v>419683</v>
      </c>
      <c r="E1795">
        <f>IFERROR(VLOOKUP(C1795,'LEAID Match'!$A$2:$B$214,2,FALSE),"")</f>
        <v>5004140</v>
      </c>
      <c r="F1795">
        <f t="shared" si="17"/>
        <v>8</v>
      </c>
    </row>
    <row r="1796" spans="1:6">
      <c r="A1796">
        <v>5004140</v>
      </c>
      <c r="B1796">
        <v>2018</v>
      </c>
      <c r="C1796" s="10" t="s">
        <v>62</v>
      </c>
      <c r="D1796" s="15">
        <v>595850</v>
      </c>
      <c r="E1796">
        <f>IFERROR(VLOOKUP(C1796,'LEAID Match'!$A$2:$B$214,2,FALSE),"")</f>
        <v>5004140</v>
      </c>
      <c r="F1796">
        <f t="shared" si="17"/>
        <v>8</v>
      </c>
    </row>
    <row r="1797" spans="1:6">
      <c r="A1797">
        <v>5004140</v>
      </c>
      <c r="B1797">
        <v>2019</v>
      </c>
      <c r="C1797" s="10" t="s">
        <v>62</v>
      </c>
      <c r="D1797" s="15">
        <v>618889</v>
      </c>
      <c r="E1797">
        <f>IFERROR(VLOOKUP(C1797,'LEAID Match'!$A$2:$B$214,2,FALSE),"")</f>
        <v>5004140</v>
      </c>
      <c r="F1797">
        <f t="shared" si="17"/>
        <v>8</v>
      </c>
    </row>
    <row r="1798" spans="1:6">
      <c r="A1798">
        <v>5004140</v>
      </c>
      <c r="B1798">
        <v>2020</v>
      </c>
      <c r="C1798" s="10" t="s">
        <v>62</v>
      </c>
      <c r="D1798" s="15">
        <v>643980</v>
      </c>
      <c r="E1798">
        <f>IFERROR(VLOOKUP(C1798,'LEAID Match'!$A$2:$B$214,2,FALSE),"")</f>
        <v>5004140</v>
      </c>
      <c r="F1798">
        <f t="shared" si="17"/>
        <v>8</v>
      </c>
    </row>
    <row r="1799" spans="1:6">
      <c r="A1799">
        <v>5004140</v>
      </c>
      <c r="B1799">
        <v>2021</v>
      </c>
      <c r="C1799" s="10" t="s">
        <v>62</v>
      </c>
      <c r="D1799" s="15">
        <v>679997</v>
      </c>
      <c r="E1799">
        <f>IFERROR(VLOOKUP(C1799,'LEAID Match'!$A$2:$B$214,2,FALSE),"")</f>
        <v>5004140</v>
      </c>
      <c r="F1799">
        <f t="shared" si="17"/>
        <v>8</v>
      </c>
    </row>
    <row r="1800" spans="1:6">
      <c r="A1800">
        <v>5004140</v>
      </c>
      <c r="B1800">
        <v>2022</v>
      </c>
      <c r="C1800" s="10" t="s">
        <v>62</v>
      </c>
      <c r="D1800" s="15">
        <v>1642512</v>
      </c>
      <c r="E1800">
        <f>IFERROR(VLOOKUP(C1800,'LEAID Match'!$A$2:$B$214,2,FALSE),"")</f>
        <v>5004140</v>
      </c>
      <c r="F1800">
        <f t="shared" si="17"/>
        <v>8</v>
      </c>
    </row>
    <row r="1801" spans="1:6">
      <c r="A1801">
        <v>5004110</v>
      </c>
      <c r="B1801">
        <v>2015</v>
      </c>
      <c r="C1801" s="10" t="s">
        <v>61</v>
      </c>
      <c r="D1801" s="15">
        <v>79289.27</v>
      </c>
      <c r="E1801">
        <f>IFERROR(VLOOKUP(C1801,'LEAID Match'!$A$2:$B$214,2,FALSE),"")</f>
        <v>5004110</v>
      </c>
      <c r="F1801">
        <f t="shared" si="17"/>
        <v>8</v>
      </c>
    </row>
    <row r="1802" spans="1:6">
      <c r="A1802">
        <v>5004110</v>
      </c>
      <c r="B1802">
        <v>2016</v>
      </c>
      <c r="C1802" s="10" t="s">
        <v>61</v>
      </c>
      <c r="D1802" s="15">
        <v>64032.08</v>
      </c>
      <c r="E1802">
        <f>IFERROR(VLOOKUP(C1802,'LEAID Match'!$A$2:$B$214,2,FALSE),"")</f>
        <v>5004110</v>
      </c>
      <c r="F1802">
        <f t="shared" si="17"/>
        <v>8</v>
      </c>
    </row>
    <row r="1803" spans="1:6">
      <c r="A1803">
        <v>5004110</v>
      </c>
      <c r="B1803">
        <v>2017</v>
      </c>
      <c r="C1803" s="10" t="s">
        <v>61</v>
      </c>
      <c r="D1803" s="15">
        <v>66336</v>
      </c>
      <c r="E1803">
        <f>IFERROR(VLOOKUP(C1803,'LEAID Match'!$A$2:$B$214,2,FALSE),"")</f>
        <v>5004110</v>
      </c>
      <c r="F1803">
        <f t="shared" si="17"/>
        <v>8</v>
      </c>
    </row>
    <row r="1804" spans="1:6">
      <c r="A1804">
        <v>5004110</v>
      </c>
      <c r="B1804">
        <v>2018</v>
      </c>
      <c r="C1804" s="10" t="s">
        <v>61</v>
      </c>
      <c r="D1804" s="15">
        <v>90645</v>
      </c>
      <c r="E1804">
        <f>IFERROR(VLOOKUP(C1804,'LEAID Match'!$A$2:$B$214,2,FALSE),"")</f>
        <v>5004110</v>
      </c>
      <c r="F1804">
        <f t="shared" si="17"/>
        <v>8</v>
      </c>
    </row>
    <row r="1805" spans="1:6">
      <c r="A1805">
        <v>5004110</v>
      </c>
      <c r="B1805">
        <v>2019</v>
      </c>
      <c r="C1805" s="10" t="s">
        <v>61</v>
      </c>
      <c r="D1805" s="15">
        <v>94113</v>
      </c>
      <c r="E1805">
        <f>IFERROR(VLOOKUP(C1805,'LEAID Match'!$A$2:$B$214,2,FALSE),"")</f>
        <v>5004110</v>
      </c>
      <c r="F1805">
        <f t="shared" si="17"/>
        <v>8</v>
      </c>
    </row>
    <row r="1806" spans="1:6">
      <c r="A1806">
        <v>5004110</v>
      </c>
      <c r="B1806">
        <v>2020</v>
      </c>
      <c r="C1806" s="10" t="s">
        <v>61</v>
      </c>
      <c r="D1806" s="15">
        <v>0</v>
      </c>
      <c r="E1806">
        <f>IFERROR(VLOOKUP(C1806,'LEAID Match'!$A$2:$B$214,2,FALSE),"")</f>
        <v>5004110</v>
      </c>
      <c r="F1806">
        <f t="shared" si="17"/>
        <v>8</v>
      </c>
    </row>
    <row r="1807" spans="1:6">
      <c r="A1807">
        <v>5004110</v>
      </c>
      <c r="B1807">
        <v>2021</v>
      </c>
      <c r="C1807" s="10" t="s">
        <v>61</v>
      </c>
      <c r="D1807" s="15">
        <v>0</v>
      </c>
      <c r="E1807">
        <f>IFERROR(VLOOKUP(C1807,'LEAID Match'!$A$2:$B$214,2,FALSE),"")</f>
        <v>5004110</v>
      </c>
      <c r="F1807">
        <f t="shared" si="17"/>
        <v>8</v>
      </c>
    </row>
    <row r="1808" spans="1:6">
      <c r="A1808">
        <v>5004110</v>
      </c>
      <c r="B1808">
        <v>2022</v>
      </c>
      <c r="C1808" s="10" t="s">
        <v>61</v>
      </c>
      <c r="D1808" s="15">
        <v>0</v>
      </c>
      <c r="E1808">
        <f>IFERROR(VLOOKUP(C1808,'LEAID Match'!$A$2:$B$214,2,FALSE),"")</f>
        <v>5004110</v>
      </c>
      <c r="F1808">
        <f t="shared" si="17"/>
        <v>8</v>
      </c>
    </row>
    <row r="1809" spans="1:6">
      <c r="A1809">
        <v>5004080</v>
      </c>
      <c r="B1809">
        <v>2015</v>
      </c>
      <c r="C1809" s="10" t="s">
        <v>60</v>
      </c>
      <c r="D1809" s="15">
        <v>97693.99</v>
      </c>
      <c r="E1809">
        <f>IFERROR(VLOOKUP(C1809,'LEAID Match'!$A$2:$B$214,2,FALSE),"")</f>
        <v>5004080</v>
      </c>
      <c r="F1809">
        <f t="shared" si="17"/>
        <v>8</v>
      </c>
    </row>
    <row r="1810" spans="1:6">
      <c r="A1810">
        <v>5004080</v>
      </c>
      <c r="B1810">
        <v>2016</v>
      </c>
      <c r="C1810" s="10" t="s">
        <v>60</v>
      </c>
      <c r="D1810" s="15">
        <v>87963.33</v>
      </c>
      <c r="E1810">
        <f>IFERROR(VLOOKUP(C1810,'LEAID Match'!$A$2:$B$214,2,FALSE),"")</f>
        <v>5004080</v>
      </c>
      <c r="F1810">
        <f t="shared" si="17"/>
        <v>8</v>
      </c>
    </row>
    <row r="1811" spans="1:6">
      <c r="A1811">
        <v>5004080</v>
      </c>
      <c r="B1811">
        <v>2017</v>
      </c>
      <c r="C1811" s="10" t="s">
        <v>60</v>
      </c>
      <c r="D1811" s="15">
        <v>99367</v>
      </c>
      <c r="E1811">
        <f>IFERROR(VLOOKUP(C1811,'LEAID Match'!$A$2:$B$214,2,FALSE),"")</f>
        <v>5004080</v>
      </c>
      <c r="F1811">
        <f t="shared" si="17"/>
        <v>8</v>
      </c>
    </row>
    <row r="1812" spans="1:6">
      <c r="A1812">
        <v>5004080</v>
      </c>
      <c r="B1812">
        <v>2018</v>
      </c>
      <c r="C1812" s="10" t="s">
        <v>60</v>
      </c>
      <c r="D1812" s="15">
        <v>141116</v>
      </c>
      <c r="E1812">
        <f>IFERROR(VLOOKUP(C1812,'LEAID Match'!$A$2:$B$214,2,FALSE),"")</f>
        <v>5004080</v>
      </c>
      <c r="F1812">
        <f t="shared" si="17"/>
        <v>8</v>
      </c>
    </row>
    <row r="1813" spans="1:6">
      <c r="A1813">
        <v>5004080</v>
      </c>
      <c r="B1813">
        <v>2019</v>
      </c>
      <c r="C1813" s="10" t="s">
        <v>60</v>
      </c>
      <c r="D1813" s="15">
        <v>124633</v>
      </c>
      <c r="E1813">
        <f>IFERROR(VLOOKUP(C1813,'LEAID Match'!$A$2:$B$214,2,FALSE),"")</f>
        <v>5004080</v>
      </c>
      <c r="F1813">
        <f t="shared" si="17"/>
        <v>8</v>
      </c>
    </row>
    <row r="1814" spans="1:6">
      <c r="A1814">
        <v>5004080</v>
      </c>
      <c r="B1814">
        <v>2020</v>
      </c>
      <c r="C1814" s="10" t="s">
        <v>60</v>
      </c>
      <c r="D1814" s="15">
        <v>119059</v>
      </c>
      <c r="E1814">
        <f>IFERROR(VLOOKUP(C1814,'LEAID Match'!$A$2:$B$214,2,FALSE),"")</f>
        <v>5004080</v>
      </c>
      <c r="F1814">
        <f t="shared" si="17"/>
        <v>8</v>
      </c>
    </row>
    <row r="1815" spans="1:6">
      <c r="A1815">
        <v>5004080</v>
      </c>
      <c r="B1815">
        <v>2021</v>
      </c>
      <c r="C1815" s="10" t="s">
        <v>60</v>
      </c>
      <c r="D1815" s="15">
        <v>130221</v>
      </c>
      <c r="E1815">
        <f>IFERROR(VLOOKUP(C1815,'LEAID Match'!$A$2:$B$214,2,FALSE),"")</f>
        <v>5004080</v>
      </c>
      <c r="F1815">
        <f t="shared" si="17"/>
        <v>8</v>
      </c>
    </row>
    <row r="1816" spans="1:6">
      <c r="A1816">
        <v>5004080</v>
      </c>
      <c r="B1816">
        <v>2022</v>
      </c>
      <c r="C1816" s="10" t="s">
        <v>60</v>
      </c>
      <c r="D1816" s="15">
        <v>287998</v>
      </c>
      <c r="E1816">
        <f>IFERROR(VLOOKUP(C1816,'LEAID Match'!$A$2:$B$214,2,FALSE),"")</f>
        <v>5004080</v>
      </c>
      <c r="F1816">
        <f t="shared" si="17"/>
        <v>8</v>
      </c>
    </row>
    <row r="1817" spans="1:6">
      <c r="A1817">
        <v>5003930</v>
      </c>
      <c r="B1817">
        <v>2015</v>
      </c>
      <c r="C1817" s="10" t="s">
        <v>56</v>
      </c>
      <c r="D1817" s="15">
        <v>515731.32</v>
      </c>
      <c r="E1817">
        <f>IFERROR(VLOOKUP(C1817,'LEAID Match'!$A$2:$B$214,2,FALSE),"")</f>
        <v>5003930</v>
      </c>
      <c r="F1817">
        <f t="shared" si="17"/>
        <v>8</v>
      </c>
    </row>
    <row r="1818" spans="1:6">
      <c r="A1818">
        <v>5003930</v>
      </c>
      <c r="B1818">
        <v>2016</v>
      </c>
      <c r="C1818" s="10" t="s">
        <v>56</v>
      </c>
      <c r="D1818" s="15">
        <v>496413.03</v>
      </c>
      <c r="E1818">
        <f>IFERROR(VLOOKUP(C1818,'LEAID Match'!$A$2:$B$214,2,FALSE),"")</f>
        <v>5003930</v>
      </c>
      <c r="F1818">
        <f t="shared" si="17"/>
        <v>8</v>
      </c>
    </row>
    <row r="1819" spans="1:6">
      <c r="A1819">
        <v>5003930</v>
      </c>
      <c r="B1819">
        <v>2017</v>
      </c>
      <c r="C1819" s="10" t="s">
        <v>56</v>
      </c>
      <c r="D1819" s="15">
        <v>522820</v>
      </c>
      <c r="E1819">
        <f>IFERROR(VLOOKUP(C1819,'LEAID Match'!$A$2:$B$214,2,FALSE),"")</f>
        <v>5003930</v>
      </c>
      <c r="F1819">
        <f t="shared" si="17"/>
        <v>8</v>
      </c>
    </row>
    <row r="1820" spans="1:6">
      <c r="A1820">
        <v>5003930</v>
      </c>
      <c r="B1820">
        <v>2018</v>
      </c>
      <c r="C1820" s="10" t="s">
        <v>56</v>
      </c>
      <c r="D1820" s="15">
        <v>769070</v>
      </c>
      <c r="E1820">
        <f>IFERROR(VLOOKUP(C1820,'LEAID Match'!$A$2:$B$214,2,FALSE),"")</f>
        <v>5003930</v>
      </c>
      <c r="F1820">
        <f t="shared" si="17"/>
        <v>8</v>
      </c>
    </row>
    <row r="1821" spans="1:6">
      <c r="A1821">
        <v>5003930</v>
      </c>
      <c r="B1821">
        <v>2019</v>
      </c>
      <c r="C1821" s="10" t="s">
        <v>56</v>
      </c>
      <c r="D1821" s="15">
        <v>801018</v>
      </c>
      <c r="E1821">
        <f>IFERROR(VLOOKUP(C1821,'LEAID Match'!$A$2:$B$214,2,FALSE),"")</f>
        <v>5003930</v>
      </c>
      <c r="F1821">
        <f t="shared" si="17"/>
        <v>8</v>
      </c>
    </row>
    <row r="1822" spans="1:6">
      <c r="A1822">
        <v>5003930</v>
      </c>
      <c r="B1822">
        <v>2020</v>
      </c>
      <c r="C1822" s="10" t="s">
        <v>56</v>
      </c>
      <c r="D1822" s="15">
        <v>865907</v>
      </c>
      <c r="E1822">
        <f>IFERROR(VLOOKUP(C1822,'LEAID Match'!$A$2:$B$214,2,FALSE),"")</f>
        <v>5003930</v>
      </c>
      <c r="F1822">
        <f t="shared" si="17"/>
        <v>8</v>
      </c>
    </row>
    <row r="1823" spans="1:6">
      <c r="A1823">
        <v>5003930</v>
      </c>
      <c r="B1823">
        <v>2021</v>
      </c>
      <c r="C1823" s="10" t="s">
        <v>56</v>
      </c>
      <c r="D1823" s="15">
        <v>901857</v>
      </c>
      <c r="E1823">
        <f>IFERROR(VLOOKUP(C1823,'LEAID Match'!$A$2:$B$214,2,FALSE),"")</f>
        <v>5003930</v>
      </c>
      <c r="F1823">
        <f t="shared" si="17"/>
        <v>8</v>
      </c>
    </row>
    <row r="1824" spans="1:6">
      <c r="A1824">
        <v>5003930</v>
      </c>
      <c r="B1824">
        <v>2022</v>
      </c>
      <c r="C1824" s="10" t="s">
        <v>56</v>
      </c>
      <c r="D1824" s="15">
        <v>2224280</v>
      </c>
      <c r="E1824">
        <f>IFERROR(VLOOKUP(C1824,'LEAID Match'!$A$2:$B$214,2,FALSE),"")</f>
        <v>5003930</v>
      </c>
      <c r="F1824">
        <f t="shared" si="17"/>
        <v>8</v>
      </c>
    </row>
    <row r="1825" spans="1:6">
      <c r="A1825">
        <v>5003900</v>
      </c>
      <c r="B1825">
        <v>2015</v>
      </c>
      <c r="C1825" s="10" t="s">
        <v>228</v>
      </c>
      <c r="D1825" s="15">
        <v>284024.90999999997</v>
      </c>
      <c r="E1825">
        <f>IFERROR(VLOOKUP(C1825,'LEAID Match'!$A$2:$B$214,2,FALSE),"")</f>
        <v>5003900</v>
      </c>
      <c r="F1825">
        <f t="shared" si="17"/>
        <v>8</v>
      </c>
    </row>
    <row r="1826" spans="1:6">
      <c r="A1826">
        <v>5003900</v>
      </c>
      <c r="B1826">
        <v>2016</v>
      </c>
      <c r="C1826" s="10" t="s">
        <v>228</v>
      </c>
      <c r="D1826" s="15">
        <v>288545.81</v>
      </c>
      <c r="E1826">
        <f>IFERROR(VLOOKUP(C1826,'LEAID Match'!$A$2:$B$214,2,FALSE),"")</f>
        <v>5003900</v>
      </c>
      <c r="F1826">
        <f t="shared" si="17"/>
        <v>8</v>
      </c>
    </row>
    <row r="1827" spans="1:6">
      <c r="A1827">
        <v>5003900</v>
      </c>
      <c r="B1827">
        <v>2017</v>
      </c>
      <c r="C1827" s="10" t="s">
        <v>228</v>
      </c>
      <c r="D1827" s="15">
        <v>315481</v>
      </c>
      <c r="E1827">
        <f>IFERROR(VLOOKUP(C1827,'LEAID Match'!$A$2:$B$214,2,FALSE),"")</f>
        <v>5003900</v>
      </c>
      <c r="F1827">
        <f t="shared" si="17"/>
        <v>8</v>
      </c>
    </row>
    <row r="1828" spans="1:6">
      <c r="A1828">
        <v>5003900</v>
      </c>
      <c r="B1828">
        <v>2018</v>
      </c>
      <c r="C1828" s="10" t="s">
        <v>228</v>
      </c>
      <c r="D1828" s="15">
        <v>419918</v>
      </c>
      <c r="E1828">
        <f>IFERROR(VLOOKUP(C1828,'LEAID Match'!$A$2:$B$214,2,FALSE),"")</f>
        <v>5003900</v>
      </c>
      <c r="F1828">
        <f t="shared" si="17"/>
        <v>8</v>
      </c>
    </row>
    <row r="1829" spans="1:6">
      <c r="A1829">
        <v>5003900</v>
      </c>
      <c r="B1829">
        <v>2019</v>
      </c>
      <c r="C1829" s="10" t="s">
        <v>228</v>
      </c>
      <c r="D1829" s="15">
        <v>0</v>
      </c>
      <c r="E1829">
        <f>IFERROR(VLOOKUP(C1829,'LEAID Match'!$A$2:$B$214,2,FALSE),"")</f>
        <v>5003900</v>
      </c>
      <c r="F1829">
        <f t="shared" si="17"/>
        <v>8</v>
      </c>
    </row>
    <row r="1830" spans="1:6">
      <c r="A1830">
        <v>5003900</v>
      </c>
      <c r="B1830">
        <v>2020</v>
      </c>
      <c r="C1830" s="10" t="s">
        <v>228</v>
      </c>
      <c r="D1830" s="15">
        <v>0</v>
      </c>
      <c r="E1830">
        <f>IFERROR(VLOOKUP(C1830,'LEAID Match'!$A$2:$B$214,2,FALSE),"")</f>
        <v>5003900</v>
      </c>
      <c r="F1830">
        <f t="shared" si="17"/>
        <v>8</v>
      </c>
    </row>
    <row r="1831" spans="1:6">
      <c r="A1831">
        <v>5003900</v>
      </c>
      <c r="B1831">
        <v>2021</v>
      </c>
      <c r="C1831" s="10" t="s">
        <v>228</v>
      </c>
      <c r="D1831" s="15">
        <v>0</v>
      </c>
      <c r="E1831">
        <f>IFERROR(VLOOKUP(C1831,'LEAID Match'!$A$2:$B$214,2,FALSE),"")</f>
        <v>5003900</v>
      </c>
      <c r="F1831">
        <f t="shared" si="17"/>
        <v>8</v>
      </c>
    </row>
    <row r="1832" spans="1:6">
      <c r="A1832">
        <v>5003900</v>
      </c>
      <c r="B1832">
        <v>2022</v>
      </c>
      <c r="C1832" s="10" t="s">
        <v>228</v>
      </c>
      <c r="D1832" s="15">
        <v>0</v>
      </c>
      <c r="E1832">
        <f>IFERROR(VLOOKUP(C1832,'LEAID Match'!$A$2:$B$214,2,FALSE),"")</f>
        <v>5003900</v>
      </c>
      <c r="F1832">
        <f t="shared" si="17"/>
        <v>8</v>
      </c>
    </row>
    <row r="1833" spans="1:6">
      <c r="A1833">
        <v>5003870</v>
      </c>
      <c r="B1833">
        <v>2015</v>
      </c>
      <c r="C1833" s="10" t="s">
        <v>55</v>
      </c>
      <c r="D1833" s="15">
        <v>249079.28</v>
      </c>
      <c r="E1833">
        <f>IFERROR(VLOOKUP(C1833,'LEAID Match'!$A$2:$B$214,2,FALSE),"")</f>
        <v>5003870</v>
      </c>
      <c r="F1833">
        <f t="shared" si="17"/>
        <v>8</v>
      </c>
    </row>
    <row r="1834" spans="1:6">
      <c r="A1834">
        <v>5003870</v>
      </c>
      <c r="B1834">
        <v>2016</v>
      </c>
      <c r="C1834" s="10" t="s">
        <v>55</v>
      </c>
      <c r="D1834" s="15">
        <v>210445.19</v>
      </c>
      <c r="E1834">
        <f>IFERROR(VLOOKUP(C1834,'LEAID Match'!$A$2:$B$214,2,FALSE),"")</f>
        <v>5003870</v>
      </c>
      <c r="F1834">
        <f t="shared" si="17"/>
        <v>8</v>
      </c>
    </row>
    <row r="1835" spans="1:6">
      <c r="A1835">
        <v>5003870</v>
      </c>
      <c r="B1835">
        <v>2017</v>
      </c>
      <c r="C1835" s="10" t="s">
        <v>55</v>
      </c>
      <c r="D1835" s="15">
        <v>217054</v>
      </c>
      <c r="E1835">
        <f>IFERROR(VLOOKUP(C1835,'LEAID Match'!$A$2:$B$214,2,FALSE),"")</f>
        <v>5003870</v>
      </c>
      <c r="F1835">
        <f t="shared" si="17"/>
        <v>8</v>
      </c>
    </row>
    <row r="1836" spans="1:6">
      <c r="A1836">
        <v>5003870</v>
      </c>
      <c r="B1836">
        <v>2018</v>
      </c>
      <c r="C1836" s="10" t="s">
        <v>55</v>
      </c>
      <c r="D1836" s="15">
        <v>307883</v>
      </c>
      <c r="E1836">
        <f>IFERROR(VLOOKUP(C1836,'LEAID Match'!$A$2:$B$214,2,FALSE),"")</f>
        <v>5003870</v>
      </c>
      <c r="F1836">
        <f t="shared" si="17"/>
        <v>8</v>
      </c>
    </row>
    <row r="1837" spans="1:6">
      <c r="A1837">
        <v>5003870</v>
      </c>
      <c r="B1837">
        <v>2019</v>
      </c>
      <c r="C1837" s="10" t="s">
        <v>55</v>
      </c>
      <c r="D1837" s="15">
        <v>0</v>
      </c>
      <c r="E1837">
        <f>IFERROR(VLOOKUP(C1837,'LEAID Match'!$A$2:$B$214,2,FALSE),"")</f>
        <v>5003870</v>
      </c>
      <c r="F1837">
        <f t="shared" si="17"/>
        <v>8</v>
      </c>
    </row>
    <row r="1838" spans="1:6">
      <c r="A1838">
        <v>5003870</v>
      </c>
      <c r="B1838">
        <v>2020</v>
      </c>
      <c r="C1838" s="10" t="s">
        <v>55</v>
      </c>
      <c r="D1838" s="15">
        <v>0</v>
      </c>
      <c r="E1838">
        <f>IFERROR(VLOOKUP(C1838,'LEAID Match'!$A$2:$B$214,2,FALSE),"")</f>
        <v>5003870</v>
      </c>
      <c r="F1838">
        <f t="shared" si="17"/>
        <v>8</v>
      </c>
    </row>
    <row r="1839" spans="1:6">
      <c r="A1839">
        <v>5003870</v>
      </c>
      <c r="B1839">
        <v>2021</v>
      </c>
      <c r="C1839" s="10" t="s">
        <v>55</v>
      </c>
      <c r="D1839" s="15">
        <v>0</v>
      </c>
      <c r="E1839">
        <f>IFERROR(VLOOKUP(C1839,'LEAID Match'!$A$2:$B$214,2,FALSE),"")</f>
        <v>5003870</v>
      </c>
      <c r="F1839">
        <f t="shared" si="17"/>
        <v>8</v>
      </c>
    </row>
    <row r="1840" spans="1:6">
      <c r="A1840">
        <v>5003870</v>
      </c>
      <c r="B1840">
        <v>2022</v>
      </c>
      <c r="C1840" s="10" t="s">
        <v>55</v>
      </c>
      <c r="D1840" s="15">
        <v>0</v>
      </c>
      <c r="E1840">
        <f>IFERROR(VLOOKUP(C1840,'LEAID Match'!$A$2:$B$214,2,FALSE),"")</f>
        <v>5003870</v>
      </c>
      <c r="F1840">
        <f t="shared" si="17"/>
        <v>8</v>
      </c>
    </row>
    <row r="1841" spans="1:6">
      <c r="A1841">
        <v>5003840</v>
      </c>
      <c r="B1841">
        <v>2015</v>
      </c>
      <c r="C1841" s="10" t="s">
        <v>54</v>
      </c>
      <c r="D1841" s="15">
        <v>1149450.52</v>
      </c>
      <c r="E1841">
        <f>IFERROR(VLOOKUP(C1841,'LEAID Match'!$A$2:$B$214,2,FALSE),"")</f>
        <v>5003840</v>
      </c>
      <c r="F1841">
        <f t="shared" si="17"/>
        <v>8</v>
      </c>
    </row>
    <row r="1842" spans="1:6">
      <c r="A1842">
        <v>5003840</v>
      </c>
      <c r="B1842">
        <v>2016</v>
      </c>
      <c r="C1842" s="10" t="s">
        <v>54</v>
      </c>
      <c r="D1842" s="15">
        <v>1110809.04</v>
      </c>
      <c r="E1842">
        <f>IFERROR(VLOOKUP(C1842,'LEAID Match'!$A$2:$B$214,2,FALSE),"")</f>
        <v>5003840</v>
      </c>
      <c r="F1842">
        <f t="shared" si="17"/>
        <v>8</v>
      </c>
    </row>
    <row r="1843" spans="1:6">
      <c r="A1843">
        <v>5003840</v>
      </c>
      <c r="B1843">
        <v>2017</v>
      </c>
      <c r="C1843" s="10" t="s">
        <v>54</v>
      </c>
      <c r="D1843" s="15">
        <v>1214481</v>
      </c>
      <c r="E1843">
        <f>IFERROR(VLOOKUP(C1843,'LEAID Match'!$A$2:$B$214,2,FALSE),"")</f>
        <v>5003840</v>
      </c>
      <c r="F1843">
        <f t="shared" si="17"/>
        <v>8</v>
      </c>
    </row>
    <row r="1844" spans="1:6">
      <c r="A1844">
        <v>5003840</v>
      </c>
      <c r="B1844">
        <v>2018</v>
      </c>
      <c r="C1844" s="10" t="s">
        <v>54</v>
      </c>
      <c r="D1844" s="15">
        <v>14995</v>
      </c>
      <c r="E1844">
        <f>IFERROR(VLOOKUP(C1844,'LEAID Match'!$A$2:$B$214,2,FALSE),"")</f>
        <v>5003840</v>
      </c>
      <c r="F1844">
        <f t="shared" si="17"/>
        <v>8</v>
      </c>
    </row>
    <row r="1845" spans="1:6">
      <c r="A1845">
        <v>5003840</v>
      </c>
      <c r="B1845">
        <v>2019</v>
      </c>
      <c r="C1845" s="10" t="s">
        <v>54</v>
      </c>
      <c r="D1845" s="15">
        <v>0</v>
      </c>
      <c r="E1845">
        <f>IFERROR(VLOOKUP(C1845,'LEAID Match'!$A$2:$B$214,2,FALSE),"")</f>
        <v>5003840</v>
      </c>
      <c r="F1845">
        <f t="shared" si="17"/>
        <v>8</v>
      </c>
    </row>
    <row r="1846" spans="1:6">
      <c r="A1846">
        <v>5003840</v>
      </c>
      <c r="B1846">
        <v>2020</v>
      </c>
      <c r="C1846" s="10" t="s">
        <v>54</v>
      </c>
      <c r="D1846" s="15">
        <v>0</v>
      </c>
      <c r="E1846">
        <f>IFERROR(VLOOKUP(C1846,'LEAID Match'!$A$2:$B$214,2,FALSE),"")</f>
        <v>5003840</v>
      </c>
      <c r="F1846">
        <f t="shared" si="17"/>
        <v>8</v>
      </c>
    </row>
    <row r="1847" spans="1:6">
      <c r="A1847">
        <v>5003840</v>
      </c>
      <c r="B1847">
        <v>2021</v>
      </c>
      <c r="C1847" s="10" t="s">
        <v>54</v>
      </c>
      <c r="D1847" s="15">
        <v>0</v>
      </c>
      <c r="E1847">
        <f>IFERROR(VLOOKUP(C1847,'LEAID Match'!$A$2:$B$214,2,FALSE),"")</f>
        <v>5003840</v>
      </c>
      <c r="F1847">
        <f t="shared" si="17"/>
        <v>8</v>
      </c>
    </row>
    <row r="1848" spans="1:6">
      <c r="A1848">
        <v>5003840</v>
      </c>
      <c r="B1848">
        <v>2022</v>
      </c>
      <c r="C1848" s="10" t="s">
        <v>54</v>
      </c>
      <c r="D1848" s="15">
        <v>0</v>
      </c>
      <c r="E1848">
        <f>IFERROR(VLOOKUP(C1848,'LEAID Match'!$A$2:$B$214,2,FALSE),"")</f>
        <v>5003840</v>
      </c>
      <c r="F1848">
        <f t="shared" si="17"/>
        <v>8</v>
      </c>
    </row>
    <row r="1849" spans="1:6">
      <c r="A1849">
        <v>5003780</v>
      </c>
      <c r="B1849">
        <v>2015</v>
      </c>
      <c r="C1849" s="10" t="s">
        <v>51</v>
      </c>
      <c r="D1849" s="15">
        <v>432160.93</v>
      </c>
      <c r="E1849">
        <f>IFERROR(VLOOKUP(C1849,'LEAID Match'!$A$2:$B$214,2,FALSE),"")</f>
        <v>5003780</v>
      </c>
      <c r="F1849">
        <f t="shared" si="17"/>
        <v>8</v>
      </c>
    </row>
    <row r="1850" spans="1:6">
      <c r="A1850">
        <v>5003780</v>
      </c>
      <c r="B1850">
        <v>2016</v>
      </c>
      <c r="C1850" s="10" t="s">
        <v>51</v>
      </c>
      <c r="D1850" s="15">
        <v>409173.75</v>
      </c>
      <c r="E1850">
        <f>IFERROR(VLOOKUP(C1850,'LEAID Match'!$A$2:$B$214,2,FALSE),"")</f>
        <v>5003780</v>
      </c>
      <c r="F1850">
        <f t="shared" si="17"/>
        <v>8</v>
      </c>
    </row>
    <row r="1851" spans="1:6">
      <c r="A1851">
        <v>5003780</v>
      </c>
      <c r="B1851">
        <v>2017</v>
      </c>
      <c r="C1851" s="10" t="s">
        <v>51</v>
      </c>
      <c r="D1851" s="15">
        <v>465805</v>
      </c>
      <c r="E1851">
        <f>IFERROR(VLOOKUP(C1851,'LEAID Match'!$A$2:$B$214,2,FALSE),"")</f>
        <v>5003780</v>
      </c>
      <c r="F1851">
        <f t="shared" si="17"/>
        <v>8</v>
      </c>
    </row>
    <row r="1852" spans="1:6">
      <c r="A1852">
        <v>5003780</v>
      </c>
      <c r="B1852">
        <v>2018</v>
      </c>
      <c r="C1852" s="10" t="s">
        <v>51</v>
      </c>
      <c r="D1852" s="15">
        <v>663575</v>
      </c>
      <c r="E1852">
        <f>IFERROR(VLOOKUP(C1852,'LEAID Match'!$A$2:$B$214,2,FALSE),"")</f>
        <v>5003780</v>
      </c>
      <c r="F1852">
        <f t="shared" si="17"/>
        <v>8</v>
      </c>
    </row>
    <row r="1853" spans="1:6">
      <c r="A1853">
        <v>5003780</v>
      </c>
      <c r="B1853">
        <v>2019</v>
      </c>
      <c r="C1853" s="10" t="s">
        <v>51</v>
      </c>
      <c r="D1853" s="15">
        <v>672116</v>
      </c>
      <c r="E1853">
        <f>IFERROR(VLOOKUP(C1853,'LEAID Match'!$A$2:$B$214,2,FALSE),"")</f>
        <v>5003780</v>
      </c>
      <c r="F1853">
        <f t="shared" si="17"/>
        <v>8</v>
      </c>
    </row>
    <row r="1854" spans="1:6">
      <c r="A1854">
        <v>5003780</v>
      </c>
      <c r="B1854">
        <v>2020</v>
      </c>
      <c r="C1854" s="10" t="s">
        <v>51</v>
      </c>
      <c r="D1854" s="15">
        <v>0</v>
      </c>
      <c r="E1854">
        <f>IFERROR(VLOOKUP(C1854,'LEAID Match'!$A$2:$B$214,2,FALSE),"")</f>
        <v>5003780</v>
      </c>
      <c r="F1854">
        <f t="shared" si="17"/>
        <v>8</v>
      </c>
    </row>
    <row r="1855" spans="1:6">
      <c r="A1855">
        <v>5003780</v>
      </c>
      <c r="B1855">
        <v>2021</v>
      </c>
      <c r="C1855" s="10" t="s">
        <v>51</v>
      </c>
      <c r="D1855" s="15">
        <v>0</v>
      </c>
      <c r="E1855">
        <f>IFERROR(VLOOKUP(C1855,'LEAID Match'!$A$2:$B$214,2,FALSE),"")</f>
        <v>5003780</v>
      </c>
      <c r="F1855">
        <f t="shared" si="17"/>
        <v>8</v>
      </c>
    </row>
    <row r="1856" spans="1:6">
      <c r="A1856">
        <v>5003780</v>
      </c>
      <c r="B1856">
        <v>2022</v>
      </c>
      <c r="C1856" s="10" t="s">
        <v>51</v>
      </c>
      <c r="D1856" s="15">
        <v>0</v>
      </c>
      <c r="E1856">
        <f>IFERROR(VLOOKUP(C1856,'LEAID Match'!$A$2:$B$214,2,FALSE),"")</f>
        <v>5003780</v>
      </c>
      <c r="F1856">
        <f t="shared" si="17"/>
        <v>8</v>
      </c>
    </row>
    <row r="1857" spans="1:6">
      <c r="A1857">
        <v>5003690</v>
      </c>
      <c r="B1857">
        <v>2015</v>
      </c>
      <c r="C1857" s="10" t="s">
        <v>48</v>
      </c>
      <c r="D1857" s="15">
        <v>153240.99</v>
      </c>
      <c r="E1857">
        <f>IFERROR(VLOOKUP(C1857,'LEAID Match'!$A$2:$B$214,2,FALSE),"")</f>
        <v>5003690</v>
      </c>
      <c r="F1857">
        <f t="shared" si="17"/>
        <v>8</v>
      </c>
    </row>
    <row r="1858" spans="1:6">
      <c r="A1858">
        <v>5003690</v>
      </c>
      <c r="B1858">
        <v>2016</v>
      </c>
      <c r="C1858" s="10" t="s">
        <v>48</v>
      </c>
      <c r="D1858" s="15">
        <v>145834.31</v>
      </c>
      <c r="E1858">
        <f>IFERROR(VLOOKUP(C1858,'LEAID Match'!$A$2:$B$214,2,FALSE),"")</f>
        <v>5003690</v>
      </c>
      <c r="F1858">
        <f t="shared" ref="F1858:F1921" si="18">COUNTIF($A$705:$A$2272,A1858)</f>
        <v>8</v>
      </c>
    </row>
    <row r="1859" spans="1:6">
      <c r="A1859">
        <v>5003690</v>
      </c>
      <c r="B1859">
        <v>2017</v>
      </c>
      <c r="C1859" s="10" t="s">
        <v>48</v>
      </c>
      <c r="D1859" s="15">
        <v>157122</v>
      </c>
      <c r="E1859">
        <f>IFERROR(VLOOKUP(C1859,'LEAID Match'!$A$2:$B$214,2,FALSE),"")</f>
        <v>5003690</v>
      </c>
      <c r="F1859">
        <f t="shared" si="18"/>
        <v>8</v>
      </c>
    </row>
    <row r="1860" spans="1:6">
      <c r="A1860">
        <v>5003690</v>
      </c>
      <c r="B1860">
        <v>2018</v>
      </c>
      <c r="C1860" s="10" t="s">
        <v>48</v>
      </c>
      <c r="D1860" s="15">
        <v>206444</v>
      </c>
      <c r="E1860">
        <f>IFERROR(VLOOKUP(C1860,'LEAID Match'!$A$2:$B$214,2,FALSE),"")</f>
        <v>5003690</v>
      </c>
      <c r="F1860">
        <f t="shared" si="18"/>
        <v>8</v>
      </c>
    </row>
    <row r="1861" spans="1:6">
      <c r="A1861">
        <v>5003690</v>
      </c>
      <c r="B1861">
        <v>2019</v>
      </c>
      <c r="C1861" s="10" t="s">
        <v>48</v>
      </c>
      <c r="D1861" s="15">
        <v>217533</v>
      </c>
      <c r="E1861">
        <f>IFERROR(VLOOKUP(C1861,'LEAID Match'!$A$2:$B$214,2,FALSE),"")</f>
        <v>5003690</v>
      </c>
      <c r="F1861">
        <f t="shared" si="18"/>
        <v>8</v>
      </c>
    </row>
    <row r="1862" spans="1:6">
      <c r="A1862">
        <v>5003690</v>
      </c>
      <c r="B1862">
        <v>2020</v>
      </c>
      <c r="C1862" s="10" t="s">
        <v>48</v>
      </c>
      <c r="D1862" s="15">
        <v>0</v>
      </c>
      <c r="E1862">
        <f>IFERROR(VLOOKUP(C1862,'LEAID Match'!$A$2:$B$214,2,FALSE),"")</f>
        <v>5003690</v>
      </c>
      <c r="F1862">
        <f t="shared" si="18"/>
        <v>8</v>
      </c>
    </row>
    <row r="1863" spans="1:6">
      <c r="A1863">
        <v>5003690</v>
      </c>
      <c r="B1863">
        <v>2021</v>
      </c>
      <c r="C1863" s="10" t="s">
        <v>48</v>
      </c>
      <c r="D1863" s="15">
        <v>0</v>
      </c>
      <c r="E1863">
        <f>IFERROR(VLOOKUP(C1863,'LEAID Match'!$A$2:$B$214,2,FALSE),"")</f>
        <v>5003690</v>
      </c>
      <c r="F1863">
        <f t="shared" si="18"/>
        <v>8</v>
      </c>
    </row>
    <row r="1864" spans="1:6">
      <c r="A1864">
        <v>5003690</v>
      </c>
      <c r="B1864">
        <v>2022</v>
      </c>
      <c r="C1864" s="10" t="s">
        <v>48</v>
      </c>
      <c r="D1864" s="15">
        <v>0</v>
      </c>
      <c r="E1864">
        <f>IFERROR(VLOOKUP(C1864,'LEAID Match'!$A$2:$B$214,2,FALSE),"")</f>
        <v>5003690</v>
      </c>
      <c r="F1864">
        <f t="shared" si="18"/>
        <v>8</v>
      </c>
    </row>
    <row r="1865" spans="1:6">
      <c r="A1865">
        <v>5003570</v>
      </c>
      <c r="B1865">
        <v>2015</v>
      </c>
      <c r="C1865" s="10" t="s">
        <v>47</v>
      </c>
      <c r="D1865" s="15">
        <v>149302.76999999999</v>
      </c>
      <c r="E1865">
        <f>IFERROR(VLOOKUP(C1865,'LEAID Match'!$A$2:$B$214,2,FALSE),"")</f>
        <v>5003570</v>
      </c>
      <c r="F1865">
        <f t="shared" si="18"/>
        <v>8</v>
      </c>
    </row>
    <row r="1866" spans="1:6">
      <c r="A1866">
        <v>5003570</v>
      </c>
      <c r="B1866">
        <v>2016</v>
      </c>
      <c r="C1866" s="10" t="s">
        <v>47</v>
      </c>
      <c r="D1866" s="15">
        <v>132234.66</v>
      </c>
      <c r="E1866">
        <f>IFERROR(VLOOKUP(C1866,'LEAID Match'!$A$2:$B$214,2,FALSE),"")</f>
        <v>5003570</v>
      </c>
      <c r="F1866">
        <f t="shared" si="18"/>
        <v>8</v>
      </c>
    </row>
    <row r="1867" spans="1:6">
      <c r="A1867">
        <v>5003570</v>
      </c>
      <c r="B1867">
        <v>2017</v>
      </c>
      <c r="C1867" s="10" t="s">
        <v>47</v>
      </c>
      <c r="D1867" s="15">
        <v>136408</v>
      </c>
      <c r="E1867">
        <f>IFERROR(VLOOKUP(C1867,'LEAID Match'!$A$2:$B$214,2,FALSE),"")</f>
        <v>5003570</v>
      </c>
      <c r="F1867">
        <f t="shared" si="18"/>
        <v>8</v>
      </c>
    </row>
    <row r="1868" spans="1:6">
      <c r="A1868">
        <v>5003570</v>
      </c>
      <c r="B1868">
        <v>2018</v>
      </c>
      <c r="C1868" s="10" t="s">
        <v>47</v>
      </c>
      <c r="D1868" s="15">
        <v>182873</v>
      </c>
      <c r="E1868">
        <f>IFERROR(VLOOKUP(C1868,'LEAID Match'!$A$2:$B$214,2,FALSE),"")</f>
        <v>5003570</v>
      </c>
      <c r="F1868">
        <f t="shared" si="18"/>
        <v>8</v>
      </c>
    </row>
    <row r="1869" spans="1:6">
      <c r="A1869">
        <v>5003570</v>
      </c>
      <c r="B1869">
        <v>2019</v>
      </c>
      <c r="C1869" s="10" t="s">
        <v>47</v>
      </c>
      <c r="D1869" s="15">
        <v>192670</v>
      </c>
      <c r="E1869">
        <f>IFERROR(VLOOKUP(C1869,'LEAID Match'!$A$2:$B$214,2,FALSE),"")</f>
        <v>5003570</v>
      </c>
      <c r="F1869">
        <f t="shared" si="18"/>
        <v>8</v>
      </c>
    </row>
    <row r="1870" spans="1:6">
      <c r="A1870">
        <v>5003570</v>
      </c>
      <c r="B1870">
        <v>2020</v>
      </c>
      <c r="C1870" s="10" t="s">
        <v>47</v>
      </c>
      <c r="D1870" s="15">
        <v>0</v>
      </c>
      <c r="E1870">
        <f>IFERROR(VLOOKUP(C1870,'LEAID Match'!$A$2:$B$214,2,FALSE),"")</f>
        <v>5003570</v>
      </c>
      <c r="F1870">
        <f t="shared" si="18"/>
        <v>8</v>
      </c>
    </row>
    <row r="1871" spans="1:6">
      <c r="A1871">
        <v>5003570</v>
      </c>
      <c r="B1871">
        <v>2021</v>
      </c>
      <c r="C1871" s="10" t="s">
        <v>47</v>
      </c>
      <c r="D1871" s="15">
        <v>0</v>
      </c>
      <c r="E1871">
        <f>IFERROR(VLOOKUP(C1871,'LEAID Match'!$A$2:$B$214,2,FALSE),"")</f>
        <v>5003570</v>
      </c>
      <c r="F1871">
        <f t="shared" si="18"/>
        <v>8</v>
      </c>
    </row>
    <row r="1872" spans="1:6">
      <c r="A1872">
        <v>5003570</v>
      </c>
      <c r="B1872">
        <v>2022</v>
      </c>
      <c r="C1872" s="10" t="s">
        <v>47</v>
      </c>
      <c r="D1872" s="15">
        <v>0</v>
      </c>
      <c r="E1872">
        <f>IFERROR(VLOOKUP(C1872,'LEAID Match'!$A$2:$B$214,2,FALSE),"")</f>
        <v>5003570</v>
      </c>
      <c r="F1872">
        <f t="shared" si="18"/>
        <v>8</v>
      </c>
    </row>
    <row r="1873" spans="1:6">
      <c r="A1873">
        <v>5003540</v>
      </c>
      <c r="B1873">
        <v>2015</v>
      </c>
      <c r="C1873" s="10" t="s">
        <v>46</v>
      </c>
      <c r="D1873" s="15">
        <v>71938.100000000006</v>
      </c>
      <c r="E1873">
        <f>IFERROR(VLOOKUP(C1873,'LEAID Match'!$A$2:$B$214,2,FALSE),"")</f>
        <v>5003540</v>
      </c>
      <c r="F1873">
        <f t="shared" si="18"/>
        <v>8</v>
      </c>
    </row>
    <row r="1874" spans="1:6">
      <c r="A1874">
        <v>5003540</v>
      </c>
      <c r="B1874">
        <v>2016</v>
      </c>
      <c r="C1874" s="10" t="s">
        <v>46</v>
      </c>
      <c r="D1874" s="15">
        <v>66983.070000000007</v>
      </c>
      <c r="E1874">
        <f>IFERROR(VLOOKUP(C1874,'LEAID Match'!$A$2:$B$214,2,FALSE),"")</f>
        <v>5003540</v>
      </c>
      <c r="F1874">
        <f t="shared" si="18"/>
        <v>8</v>
      </c>
    </row>
    <row r="1875" spans="1:6">
      <c r="A1875">
        <v>5003540</v>
      </c>
      <c r="B1875">
        <v>2017</v>
      </c>
      <c r="C1875" s="10" t="s">
        <v>46</v>
      </c>
      <c r="D1875" s="15">
        <v>75325</v>
      </c>
      <c r="E1875">
        <f>IFERROR(VLOOKUP(C1875,'LEAID Match'!$A$2:$B$214,2,FALSE),"")</f>
        <v>5003540</v>
      </c>
      <c r="F1875">
        <f t="shared" si="18"/>
        <v>8</v>
      </c>
    </row>
    <row r="1876" spans="1:6">
      <c r="A1876">
        <v>5003540</v>
      </c>
      <c r="B1876">
        <v>2018</v>
      </c>
      <c r="C1876" s="10" t="s">
        <v>46</v>
      </c>
      <c r="D1876" s="15">
        <v>106357</v>
      </c>
      <c r="E1876">
        <f>IFERROR(VLOOKUP(C1876,'LEAID Match'!$A$2:$B$214,2,FALSE),"")</f>
        <v>5003540</v>
      </c>
      <c r="F1876">
        <f t="shared" si="18"/>
        <v>8</v>
      </c>
    </row>
    <row r="1877" spans="1:6">
      <c r="A1877">
        <v>5003540</v>
      </c>
      <c r="B1877">
        <v>2019</v>
      </c>
      <c r="C1877" s="10" t="s">
        <v>46</v>
      </c>
      <c r="D1877" s="15">
        <v>121345</v>
      </c>
      <c r="E1877">
        <f>IFERROR(VLOOKUP(C1877,'LEAID Match'!$A$2:$B$214,2,FALSE),"")</f>
        <v>5003540</v>
      </c>
      <c r="F1877">
        <f t="shared" si="18"/>
        <v>8</v>
      </c>
    </row>
    <row r="1878" spans="1:6">
      <c r="A1878">
        <v>5003540</v>
      </c>
      <c r="B1878">
        <v>2020</v>
      </c>
      <c r="C1878" s="10" t="s">
        <v>46</v>
      </c>
      <c r="D1878" s="15">
        <v>0</v>
      </c>
      <c r="E1878">
        <f>IFERROR(VLOOKUP(C1878,'LEAID Match'!$A$2:$B$214,2,FALSE),"")</f>
        <v>5003540</v>
      </c>
      <c r="F1878">
        <f t="shared" si="18"/>
        <v>8</v>
      </c>
    </row>
    <row r="1879" spans="1:6">
      <c r="A1879">
        <v>5003540</v>
      </c>
      <c r="B1879">
        <v>2021</v>
      </c>
      <c r="C1879" s="10" t="s">
        <v>46</v>
      </c>
      <c r="D1879" s="15">
        <v>0</v>
      </c>
      <c r="E1879">
        <f>IFERROR(VLOOKUP(C1879,'LEAID Match'!$A$2:$B$214,2,FALSE),"")</f>
        <v>5003540</v>
      </c>
      <c r="F1879">
        <f t="shared" si="18"/>
        <v>8</v>
      </c>
    </row>
    <row r="1880" spans="1:6">
      <c r="A1880">
        <v>5003540</v>
      </c>
      <c r="B1880">
        <v>2022</v>
      </c>
      <c r="C1880" s="10" t="s">
        <v>46</v>
      </c>
      <c r="D1880" s="15">
        <v>0</v>
      </c>
      <c r="E1880">
        <f>IFERROR(VLOOKUP(C1880,'LEAID Match'!$A$2:$B$214,2,FALSE),"")</f>
        <v>5003540</v>
      </c>
      <c r="F1880">
        <f t="shared" si="18"/>
        <v>8</v>
      </c>
    </row>
    <row r="1881" spans="1:6">
      <c r="A1881">
        <v>5003510</v>
      </c>
      <c r="B1881">
        <v>2015</v>
      </c>
      <c r="C1881" s="10" t="s">
        <v>45</v>
      </c>
      <c r="D1881" s="15">
        <v>157334.12</v>
      </c>
      <c r="E1881">
        <f>IFERROR(VLOOKUP(C1881,'LEAID Match'!$A$2:$B$214,2,FALSE),"")</f>
        <v>5003510</v>
      </c>
      <c r="F1881">
        <f t="shared" si="18"/>
        <v>8</v>
      </c>
    </row>
    <row r="1882" spans="1:6">
      <c r="A1882">
        <v>5003510</v>
      </c>
      <c r="B1882">
        <v>2016</v>
      </c>
      <c r="C1882" s="10" t="s">
        <v>45</v>
      </c>
      <c r="D1882" s="15">
        <v>152724.41</v>
      </c>
      <c r="E1882">
        <f>IFERROR(VLOOKUP(C1882,'LEAID Match'!$A$2:$B$214,2,FALSE),"")</f>
        <v>5003510</v>
      </c>
      <c r="F1882">
        <f t="shared" si="18"/>
        <v>8</v>
      </c>
    </row>
    <row r="1883" spans="1:6">
      <c r="A1883">
        <v>5003510</v>
      </c>
      <c r="B1883">
        <v>2017</v>
      </c>
      <c r="C1883" s="10" t="s">
        <v>45</v>
      </c>
      <c r="D1883" s="15">
        <v>145732</v>
      </c>
      <c r="E1883">
        <f>IFERROR(VLOOKUP(C1883,'LEAID Match'!$A$2:$B$214,2,FALSE),"")</f>
        <v>5003510</v>
      </c>
      <c r="F1883">
        <f t="shared" si="18"/>
        <v>8</v>
      </c>
    </row>
    <row r="1884" spans="1:6">
      <c r="A1884">
        <v>5003510</v>
      </c>
      <c r="B1884">
        <v>2018</v>
      </c>
      <c r="C1884" s="10" t="s">
        <v>45</v>
      </c>
      <c r="D1884" s="15">
        <v>205518</v>
      </c>
      <c r="E1884">
        <f>IFERROR(VLOOKUP(C1884,'LEAID Match'!$A$2:$B$214,2,FALSE),"")</f>
        <v>5003510</v>
      </c>
      <c r="F1884">
        <f t="shared" si="18"/>
        <v>8</v>
      </c>
    </row>
    <row r="1885" spans="1:6">
      <c r="A1885">
        <v>5003510</v>
      </c>
      <c r="B1885">
        <v>2019</v>
      </c>
      <c r="C1885" s="10" t="s">
        <v>45</v>
      </c>
      <c r="D1885" s="15">
        <v>0</v>
      </c>
      <c r="E1885">
        <f>IFERROR(VLOOKUP(C1885,'LEAID Match'!$A$2:$B$214,2,FALSE),"")</f>
        <v>5003510</v>
      </c>
      <c r="F1885">
        <f t="shared" si="18"/>
        <v>8</v>
      </c>
    </row>
    <row r="1886" spans="1:6">
      <c r="A1886">
        <v>5003510</v>
      </c>
      <c r="B1886">
        <v>2020</v>
      </c>
      <c r="C1886" s="10" t="s">
        <v>45</v>
      </c>
      <c r="D1886" s="15">
        <v>0</v>
      </c>
      <c r="E1886">
        <f>IFERROR(VLOOKUP(C1886,'LEAID Match'!$A$2:$B$214,2,FALSE),"")</f>
        <v>5003510</v>
      </c>
      <c r="F1886">
        <f t="shared" si="18"/>
        <v>8</v>
      </c>
    </row>
    <row r="1887" spans="1:6">
      <c r="A1887">
        <v>5003510</v>
      </c>
      <c r="B1887">
        <v>2021</v>
      </c>
      <c r="C1887" s="10" t="s">
        <v>45</v>
      </c>
      <c r="D1887" s="15">
        <v>0</v>
      </c>
      <c r="E1887">
        <f>IFERROR(VLOOKUP(C1887,'LEAID Match'!$A$2:$B$214,2,FALSE),"")</f>
        <v>5003510</v>
      </c>
      <c r="F1887">
        <f t="shared" si="18"/>
        <v>8</v>
      </c>
    </row>
    <row r="1888" spans="1:6">
      <c r="A1888">
        <v>5003510</v>
      </c>
      <c r="B1888">
        <v>2022</v>
      </c>
      <c r="C1888" s="10" t="s">
        <v>45</v>
      </c>
      <c r="D1888" s="15">
        <v>0</v>
      </c>
      <c r="E1888">
        <f>IFERROR(VLOOKUP(C1888,'LEAID Match'!$A$2:$B$214,2,FALSE),"")</f>
        <v>5003510</v>
      </c>
      <c r="F1888">
        <f t="shared" si="18"/>
        <v>8</v>
      </c>
    </row>
    <row r="1889" spans="1:6">
      <c r="A1889">
        <v>5003480</v>
      </c>
      <c r="B1889">
        <v>2015</v>
      </c>
      <c r="C1889" s="10" t="s">
        <v>44</v>
      </c>
      <c r="D1889" s="15">
        <v>266010.94</v>
      </c>
      <c r="E1889">
        <f>IFERROR(VLOOKUP(C1889,'LEAID Match'!$A$2:$B$214,2,FALSE),"")</f>
        <v>5003480</v>
      </c>
      <c r="F1889">
        <f t="shared" si="18"/>
        <v>8</v>
      </c>
    </row>
    <row r="1890" spans="1:6">
      <c r="A1890">
        <v>5003480</v>
      </c>
      <c r="B1890">
        <v>2016</v>
      </c>
      <c r="C1890" s="10" t="s">
        <v>44</v>
      </c>
      <c r="D1890" s="15">
        <v>265402.23999999999</v>
      </c>
      <c r="E1890">
        <f>IFERROR(VLOOKUP(C1890,'LEAID Match'!$A$2:$B$214,2,FALSE),"")</f>
        <v>5003480</v>
      </c>
      <c r="F1890">
        <f t="shared" si="18"/>
        <v>8</v>
      </c>
    </row>
    <row r="1891" spans="1:6">
      <c r="A1891">
        <v>5003480</v>
      </c>
      <c r="B1891">
        <v>2017</v>
      </c>
      <c r="C1891" s="10" t="s">
        <v>44</v>
      </c>
      <c r="D1891" s="15">
        <v>239336</v>
      </c>
      <c r="E1891">
        <f>IFERROR(VLOOKUP(C1891,'LEAID Match'!$A$2:$B$214,2,FALSE),"")</f>
        <v>5003480</v>
      </c>
      <c r="F1891">
        <f t="shared" si="18"/>
        <v>8</v>
      </c>
    </row>
    <row r="1892" spans="1:6">
      <c r="A1892">
        <v>5003480</v>
      </c>
      <c r="B1892">
        <v>2018</v>
      </c>
      <c r="C1892" s="10" t="s">
        <v>44</v>
      </c>
      <c r="D1892" s="15">
        <v>318832</v>
      </c>
      <c r="E1892">
        <f>IFERROR(VLOOKUP(C1892,'LEAID Match'!$A$2:$B$214,2,FALSE),"")</f>
        <v>5003480</v>
      </c>
      <c r="F1892">
        <f t="shared" si="18"/>
        <v>8</v>
      </c>
    </row>
    <row r="1893" spans="1:6">
      <c r="A1893">
        <v>5003480</v>
      </c>
      <c r="B1893">
        <v>2019</v>
      </c>
      <c r="C1893" s="10" t="s">
        <v>44</v>
      </c>
      <c r="D1893" s="15">
        <v>317276</v>
      </c>
      <c r="E1893">
        <f>IFERROR(VLOOKUP(C1893,'LEAID Match'!$A$2:$B$214,2,FALSE),"")</f>
        <v>5003480</v>
      </c>
      <c r="F1893">
        <f t="shared" si="18"/>
        <v>8</v>
      </c>
    </row>
    <row r="1894" spans="1:6">
      <c r="A1894">
        <v>5003480</v>
      </c>
      <c r="B1894">
        <v>2020</v>
      </c>
      <c r="C1894" s="10" t="s">
        <v>44</v>
      </c>
      <c r="D1894" s="15">
        <v>325039</v>
      </c>
      <c r="E1894">
        <f>IFERROR(VLOOKUP(C1894,'LEAID Match'!$A$2:$B$214,2,FALSE),"")</f>
        <v>5003480</v>
      </c>
      <c r="F1894">
        <f t="shared" si="18"/>
        <v>8</v>
      </c>
    </row>
    <row r="1895" spans="1:6">
      <c r="A1895">
        <v>5003480</v>
      </c>
      <c r="B1895">
        <v>2021</v>
      </c>
      <c r="C1895" s="10" t="s">
        <v>44</v>
      </c>
      <c r="D1895" s="15">
        <v>371016</v>
      </c>
      <c r="E1895">
        <f>IFERROR(VLOOKUP(C1895,'LEAID Match'!$A$2:$B$214,2,FALSE),"")</f>
        <v>5003480</v>
      </c>
      <c r="F1895">
        <f t="shared" si="18"/>
        <v>8</v>
      </c>
    </row>
    <row r="1896" spans="1:6">
      <c r="A1896">
        <v>5003480</v>
      </c>
      <c r="B1896">
        <v>2022</v>
      </c>
      <c r="C1896" s="10" t="s">
        <v>44</v>
      </c>
      <c r="D1896" s="15">
        <v>953800</v>
      </c>
      <c r="E1896">
        <f>IFERROR(VLOOKUP(C1896,'LEAID Match'!$A$2:$B$214,2,FALSE),"")</f>
        <v>5003480</v>
      </c>
      <c r="F1896">
        <f t="shared" si="18"/>
        <v>8</v>
      </c>
    </row>
    <row r="1897" spans="1:6">
      <c r="A1897">
        <v>5003450</v>
      </c>
      <c r="B1897">
        <v>2015</v>
      </c>
      <c r="C1897" s="10" t="s">
        <v>43</v>
      </c>
      <c r="D1897" s="15">
        <v>266608.64000000001</v>
      </c>
      <c r="E1897">
        <f>IFERROR(VLOOKUP(C1897,'LEAID Match'!$A$2:$B$214,2,FALSE),"")</f>
        <v>5003450</v>
      </c>
      <c r="F1897">
        <f t="shared" si="18"/>
        <v>8</v>
      </c>
    </row>
    <row r="1898" spans="1:6">
      <c r="A1898">
        <v>5003450</v>
      </c>
      <c r="B1898">
        <v>2016</v>
      </c>
      <c r="C1898" s="10" t="s">
        <v>43</v>
      </c>
      <c r="D1898" s="15">
        <v>259924.12</v>
      </c>
      <c r="E1898">
        <f>IFERROR(VLOOKUP(C1898,'LEAID Match'!$A$2:$B$214,2,FALSE),"")</f>
        <v>5003450</v>
      </c>
      <c r="F1898">
        <f t="shared" si="18"/>
        <v>8</v>
      </c>
    </row>
    <row r="1899" spans="1:6">
      <c r="A1899">
        <v>5003450</v>
      </c>
      <c r="B1899">
        <v>2017</v>
      </c>
      <c r="C1899" s="10" t="s">
        <v>43</v>
      </c>
      <c r="D1899" s="15">
        <v>242330</v>
      </c>
      <c r="E1899">
        <f>IFERROR(VLOOKUP(C1899,'LEAID Match'!$A$2:$B$214,2,FALSE),"")</f>
        <v>5003450</v>
      </c>
      <c r="F1899">
        <f t="shared" si="18"/>
        <v>8</v>
      </c>
    </row>
    <row r="1900" spans="1:6">
      <c r="A1900">
        <v>5003450</v>
      </c>
      <c r="B1900">
        <v>2018</v>
      </c>
      <c r="C1900" s="10" t="s">
        <v>43</v>
      </c>
      <c r="D1900" s="15">
        <v>352229</v>
      </c>
      <c r="E1900">
        <f>IFERROR(VLOOKUP(C1900,'LEAID Match'!$A$2:$B$214,2,FALSE),"")</f>
        <v>5003450</v>
      </c>
      <c r="F1900">
        <f t="shared" si="18"/>
        <v>8</v>
      </c>
    </row>
    <row r="1901" spans="1:6">
      <c r="A1901">
        <v>5003450</v>
      </c>
      <c r="B1901">
        <v>2019</v>
      </c>
      <c r="C1901" s="10" t="s">
        <v>43</v>
      </c>
      <c r="D1901" s="15">
        <v>365594</v>
      </c>
      <c r="E1901">
        <f>IFERROR(VLOOKUP(C1901,'LEAID Match'!$A$2:$B$214,2,FALSE),"")</f>
        <v>5003450</v>
      </c>
      <c r="F1901">
        <f t="shared" si="18"/>
        <v>8</v>
      </c>
    </row>
    <row r="1902" spans="1:6">
      <c r="A1902">
        <v>5003450</v>
      </c>
      <c r="B1902">
        <v>2020</v>
      </c>
      <c r="C1902" s="10" t="s">
        <v>43</v>
      </c>
      <c r="D1902" s="15">
        <v>426437</v>
      </c>
      <c r="E1902">
        <f>IFERROR(VLOOKUP(C1902,'LEAID Match'!$A$2:$B$214,2,FALSE),"")</f>
        <v>5003450</v>
      </c>
      <c r="F1902">
        <f t="shared" si="18"/>
        <v>8</v>
      </c>
    </row>
    <row r="1903" spans="1:6">
      <c r="A1903">
        <v>5003450</v>
      </c>
      <c r="B1903">
        <v>2021</v>
      </c>
      <c r="C1903" s="10" t="s">
        <v>43</v>
      </c>
      <c r="D1903" s="15">
        <v>422871</v>
      </c>
      <c r="E1903">
        <f>IFERROR(VLOOKUP(C1903,'LEAID Match'!$A$2:$B$214,2,FALSE),"")</f>
        <v>5003450</v>
      </c>
      <c r="F1903">
        <f t="shared" si="18"/>
        <v>8</v>
      </c>
    </row>
    <row r="1904" spans="1:6">
      <c r="A1904">
        <v>5003450</v>
      </c>
      <c r="B1904">
        <v>2022</v>
      </c>
      <c r="C1904" s="10" t="s">
        <v>43</v>
      </c>
      <c r="D1904" s="15">
        <v>1095275</v>
      </c>
      <c r="E1904">
        <f>IFERROR(VLOOKUP(C1904,'LEAID Match'!$A$2:$B$214,2,FALSE),"")</f>
        <v>5003450</v>
      </c>
      <c r="F1904">
        <f t="shared" si="18"/>
        <v>8</v>
      </c>
    </row>
    <row r="1905" spans="1:6">
      <c r="A1905">
        <v>5003390</v>
      </c>
      <c r="B1905">
        <v>2015</v>
      </c>
      <c r="C1905" s="10" t="s">
        <v>42</v>
      </c>
      <c r="D1905" s="15">
        <v>115498.79</v>
      </c>
      <c r="E1905">
        <f>IFERROR(VLOOKUP(C1905,'LEAID Match'!$A$2:$B$214,2,FALSE),"")</f>
        <v>5003390</v>
      </c>
      <c r="F1905">
        <f t="shared" si="18"/>
        <v>8</v>
      </c>
    </row>
    <row r="1906" spans="1:6">
      <c r="A1906">
        <v>5003390</v>
      </c>
      <c r="B1906">
        <v>2016</v>
      </c>
      <c r="C1906" s="10" t="s">
        <v>42</v>
      </c>
      <c r="D1906" s="15">
        <v>115185.04</v>
      </c>
      <c r="E1906">
        <f>IFERROR(VLOOKUP(C1906,'LEAID Match'!$A$2:$B$214,2,FALSE),"")</f>
        <v>5003390</v>
      </c>
      <c r="F1906">
        <f t="shared" si="18"/>
        <v>8</v>
      </c>
    </row>
    <row r="1907" spans="1:6">
      <c r="A1907">
        <v>5003390</v>
      </c>
      <c r="B1907">
        <v>2017</v>
      </c>
      <c r="C1907" s="10" t="s">
        <v>42</v>
      </c>
      <c r="D1907" s="15">
        <v>120352</v>
      </c>
      <c r="E1907">
        <f>IFERROR(VLOOKUP(C1907,'LEAID Match'!$A$2:$B$214,2,FALSE),"")</f>
        <v>5003390</v>
      </c>
      <c r="F1907">
        <f t="shared" si="18"/>
        <v>8</v>
      </c>
    </row>
    <row r="1908" spans="1:6">
      <c r="A1908">
        <v>5003390</v>
      </c>
      <c r="B1908">
        <v>2018</v>
      </c>
      <c r="C1908" s="10" t="s">
        <v>42</v>
      </c>
      <c r="D1908" s="15">
        <v>175202</v>
      </c>
      <c r="E1908">
        <f>IFERROR(VLOOKUP(C1908,'LEAID Match'!$A$2:$B$214,2,FALSE),"")</f>
        <v>5003390</v>
      </c>
      <c r="F1908">
        <f t="shared" si="18"/>
        <v>8</v>
      </c>
    </row>
    <row r="1909" spans="1:6">
      <c r="A1909">
        <v>5003390</v>
      </c>
      <c r="B1909">
        <v>2019</v>
      </c>
      <c r="C1909" s="10" t="s">
        <v>42</v>
      </c>
      <c r="D1909" s="15">
        <v>171558</v>
      </c>
      <c r="E1909">
        <f>IFERROR(VLOOKUP(C1909,'LEAID Match'!$A$2:$B$214,2,FALSE),"")</f>
        <v>5003390</v>
      </c>
      <c r="F1909">
        <f t="shared" si="18"/>
        <v>8</v>
      </c>
    </row>
    <row r="1910" spans="1:6">
      <c r="A1910">
        <v>5003390</v>
      </c>
      <c r="B1910">
        <v>2020</v>
      </c>
      <c r="C1910" s="10" t="s">
        <v>42</v>
      </c>
      <c r="D1910" s="15">
        <v>180085</v>
      </c>
      <c r="E1910">
        <f>IFERROR(VLOOKUP(C1910,'LEAID Match'!$A$2:$B$214,2,FALSE),"")</f>
        <v>5003390</v>
      </c>
      <c r="F1910">
        <f t="shared" si="18"/>
        <v>8</v>
      </c>
    </row>
    <row r="1911" spans="1:6">
      <c r="A1911">
        <v>5003390</v>
      </c>
      <c r="B1911">
        <v>2021</v>
      </c>
      <c r="C1911" s="10" t="s">
        <v>42</v>
      </c>
      <c r="D1911" s="15">
        <v>190661</v>
      </c>
      <c r="E1911">
        <f>IFERROR(VLOOKUP(C1911,'LEAID Match'!$A$2:$B$214,2,FALSE),"")</f>
        <v>5003390</v>
      </c>
      <c r="F1911">
        <f t="shared" si="18"/>
        <v>8</v>
      </c>
    </row>
    <row r="1912" spans="1:6">
      <c r="A1912">
        <v>5003390</v>
      </c>
      <c r="B1912">
        <v>2022</v>
      </c>
      <c r="C1912" s="10" t="s">
        <v>42</v>
      </c>
      <c r="D1912" s="15">
        <v>473510</v>
      </c>
      <c r="E1912">
        <f>IFERROR(VLOOKUP(C1912,'LEAID Match'!$A$2:$B$214,2,FALSE),"")</f>
        <v>5003390</v>
      </c>
      <c r="F1912">
        <f t="shared" si="18"/>
        <v>8</v>
      </c>
    </row>
    <row r="1913" spans="1:6">
      <c r="A1913">
        <v>5003360</v>
      </c>
      <c r="B1913">
        <v>2015</v>
      </c>
      <c r="C1913" s="10" t="s">
        <v>41</v>
      </c>
      <c r="D1913" s="15">
        <v>85662.32</v>
      </c>
      <c r="E1913">
        <f>IFERROR(VLOOKUP(C1913,'LEAID Match'!$A$2:$B$214,2,FALSE),"")</f>
        <v>5003360</v>
      </c>
      <c r="F1913">
        <f t="shared" si="18"/>
        <v>8</v>
      </c>
    </row>
    <row r="1914" spans="1:6">
      <c r="A1914">
        <v>5003360</v>
      </c>
      <c r="B1914">
        <v>2016</v>
      </c>
      <c r="C1914" s="10" t="s">
        <v>41</v>
      </c>
      <c r="D1914" s="15">
        <v>77044.22</v>
      </c>
      <c r="E1914">
        <f>IFERROR(VLOOKUP(C1914,'LEAID Match'!$A$2:$B$214,2,FALSE),"")</f>
        <v>5003360</v>
      </c>
      <c r="F1914">
        <f t="shared" si="18"/>
        <v>8</v>
      </c>
    </row>
    <row r="1915" spans="1:6">
      <c r="A1915">
        <v>5003360</v>
      </c>
      <c r="B1915">
        <v>2017</v>
      </c>
      <c r="C1915" s="10" t="s">
        <v>41</v>
      </c>
      <c r="D1915" s="15">
        <v>79699</v>
      </c>
      <c r="E1915">
        <f>IFERROR(VLOOKUP(C1915,'LEAID Match'!$A$2:$B$214,2,FALSE),"")</f>
        <v>5003360</v>
      </c>
      <c r="F1915">
        <f t="shared" si="18"/>
        <v>8</v>
      </c>
    </row>
    <row r="1916" spans="1:6">
      <c r="A1916">
        <v>5003360</v>
      </c>
      <c r="B1916">
        <v>2018</v>
      </c>
      <c r="C1916" s="10" t="s">
        <v>41</v>
      </c>
      <c r="D1916" s="15">
        <v>123390</v>
      </c>
      <c r="E1916">
        <f>IFERROR(VLOOKUP(C1916,'LEAID Match'!$A$2:$B$214,2,FALSE),"")</f>
        <v>5003360</v>
      </c>
      <c r="F1916">
        <f t="shared" si="18"/>
        <v>8</v>
      </c>
    </row>
    <row r="1917" spans="1:6">
      <c r="A1917">
        <v>5003360</v>
      </c>
      <c r="B1917">
        <v>2019</v>
      </c>
      <c r="C1917" s="10" t="s">
        <v>41</v>
      </c>
      <c r="D1917" s="15">
        <v>122861</v>
      </c>
      <c r="E1917">
        <f>IFERROR(VLOOKUP(C1917,'LEAID Match'!$A$2:$B$214,2,FALSE),"")</f>
        <v>5003360</v>
      </c>
      <c r="F1917">
        <f t="shared" si="18"/>
        <v>8</v>
      </c>
    </row>
    <row r="1918" spans="1:6">
      <c r="A1918">
        <v>5003360</v>
      </c>
      <c r="B1918">
        <v>2020</v>
      </c>
      <c r="C1918" s="10" t="s">
        <v>41</v>
      </c>
      <c r="D1918" s="15">
        <v>139793</v>
      </c>
      <c r="E1918">
        <f>IFERROR(VLOOKUP(C1918,'LEAID Match'!$A$2:$B$214,2,FALSE),"")</f>
        <v>5003360</v>
      </c>
      <c r="F1918">
        <f t="shared" si="18"/>
        <v>8</v>
      </c>
    </row>
    <row r="1919" spans="1:6">
      <c r="A1919">
        <v>5003360</v>
      </c>
      <c r="B1919">
        <v>2021</v>
      </c>
      <c r="C1919" s="10" t="s">
        <v>41</v>
      </c>
      <c r="D1919" s="15">
        <v>145143</v>
      </c>
      <c r="E1919">
        <f>IFERROR(VLOOKUP(C1919,'LEAID Match'!$A$2:$B$214,2,FALSE),"")</f>
        <v>5003360</v>
      </c>
      <c r="F1919">
        <f t="shared" si="18"/>
        <v>8</v>
      </c>
    </row>
    <row r="1920" spans="1:6">
      <c r="A1920">
        <v>5003360</v>
      </c>
      <c r="B1920">
        <v>2022</v>
      </c>
      <c r="C1920" s="10" t="s">
        <v>41</v>
      </c>
      <c r="D1920" s="15">
        <v>368869</v>
      </c>
      <c r="E1920">
        <f>IFERROR(VLOOKUP(C1920,'LEAID Match'!$A$2:$B$214,2,FALSE),"")</f>
        <v>5003360</v>
      </c>
      <c r="F1920">
        <f t="shared" si="18"/>
        <v>8</v>
      </c>
    </row>
    <row r="1921" spans="1:6">
      <c r="A1921">
        <v>5003270</v>
      </c>
      <c r="B1921">
        <v>2015</v>
      </c>
      <c r="C1921" s="10" t="s">
        <v>39</v>
      </c>
      <c r="D1921" s="15">
        <v>107102.71</v>
      </c>
      <c r="E1921">
        <f>IFERROR(VLOOKUP(C1921,'LEAID Match'!$A$2:$B$214,2,FALSE),"")</f>
        <v>5003270</v>
      </c>
      <c r="F1921">
        <f t="shared" si="18"/>
        <v>8</v>
      </c>
    </row>
    <row r="1922" spans="1:6">
      <c r="A1922">
        <v>5003270</v>
      </c>
      <c r="B1922">
        <v>2016</v>
      </c>
      <c r="C1922" s="10" t="s">
        <v>39</v>
      </c>
      <c r="D1922" s="15">
        <v>85064.52</v>
      </c>
      <c r="E1922">
        <f>IFERROR(VLOOKUP(C1922,'LEAID Match'!$A$2:$B$214,2,FALSE),"")</f>
        <v>5003270</v>
      </c>
      <c r="F1922">
        <f t="shared" ref="F1922:F1985" si="19">COUNTIF($A$705:$A$2272,A1922)</f>
        <v>8</v>
      </c>
    </row>
    <row r="1923" spans="1:6">
      <c r="A1923">
        <v>5003270</v>
      </c>
      <c r="B1923">
        <v>2017</v>
      </c>
      <c r="C1923" s="10" t="s">
        <v>39</v>
      </c>
      <c r="D1923" s="15">
        <v>94548</v>
      </c>
      <c r="E1923">
        <f>IFERROR(VLOOKUP(C1923,'LEAID Match'!$A$2:$B$214,2,FALSE),"")</f>
        <v>5003270</v>
      </c>
      <c r="F1923">
        <f t="shared" si="19"/>
        <v>8</v>
      </c>
    </row>
    <row r="1924" spans="1:6">
      <c r="A1924">
        <v>5003270</v>
      </c>
      <c r="B1924">
        <v>2018</v>
      </c>
      <c r="C1924" s="10" t="s">
        <v>39</v>
      </c>
      <c r="D1924" s="15">
        <v>132290</v>
      </c>
      <c r="E1924">
        <f>IFERROR(VLOOKUP(C1924,'LEAID Match'!$A$2:$B$214,2,FALSE),"")</f>
        <v>5003270</v>
      </c>
      <c r="F1924">
        <f t="shared" si="19"/>
        <v>8</v>
      </c>
    </row>
    <row r="1925" spans="1:6">
      <c r="A1925">
        <v>5003270</v>
      </c>
      <c r="B1925">
        <v>2019</v>
      </c>
      <c r="C1925" s="10" t="s">
        <v>39</v>
      </c>
      <c r="D1925" s="15">
        <v>0</v>
      </c>
      <c r="E1925">
        <f>IFERROR(VLOOKUP(C1925,'LEAID Match'!$A$2:$B$214,2,FALSE),"")</f>
        <v>5003270</v>
      </c>
      <c r="F1925">
        <f t="shared" si="19"/>
        <v>8</v>
      </c>
    </row>
    <row r="1926" spans="1:6">
      <c r="A1926">
        <v>5003270</v>
      </c>
      <c r="B1926">
        <v>2020</v>
      </c>
      <c r="C1926" s="10" t="s">
        <v>39</v>
      </c>
      <c r="D1926" s="15">
        <v>0</v>
      </c>
      <c r="E1926">
        <f>IFERROR(VLOOKUP(C1926,'LEAID Match'!$A$2:$B$214,2,FALSE),"")</f>
        <v>5003270</v>
      </c>
      <c r="F1926">
        <f t="shared" si="19"/>
        <v>8</v>
      </c>
    </row>
    <row r="1927" spans="1:6">
      <c r="A1927">
        <v>5003270</v>
      </c>
      <c r="B1927">
        <v>2021</v>
      </c>
      <c r="C1927" s="10" t="s">
        <v>39</v>
      </c>
      <c r="D1927" s="15">
        <v>0</v>
      </c>
      <c r="E1927">
        <f>IFERROR(VLOOKUP(C1927,'LEAID Match'!$A$2:$B$214,2,FALSE),"")</f>
        <v>5003270</v>
      </c>
      <c r="F1927">
        <f t="shared" si="19"/>
        <v>8</v>
      </c>
    </row>
    <row r="1928" spans="1:6">
      <c r="A1928">
        <v>5003270</v>
      </c>
      <c r="B1928">
        <v>2022</v>
      </c>
      <c r="C1928" s="10" t="s">
        <v>39</v>
      </c>
      <c r="D1928" s="15">
        <v>0</v>
      </c>
      <c r="E1928">
        <f>IFERROR(VLOOKUP(C1928,'LEAID Match'!$A$2:$B$214,2,FALSE),"")</f>
        <v>5003270</v>
      </c>
      <c r="F1928">
        <f t="shared" si="19"/>
        <v>8</v>
      </c>
    </row>
    <row r="1929" spans="1:6">
      <c r="A1929">
        <v>5003240</v>
      </c>
      <c r="B1929">
        <v>2015</v>
      </c>
      <c r="C1929" s="10" t="s">
        <v>38</v>
      </c>
      <c r="D1929" s="15">
        <v>1772430.3</v>
      </c>
      <c r="E1929">
        <f>IFERROR(VLOOKUP(C1929,'LEAID Match'!$A$2:$B$214,2,FALSE),"")</f>
        <v>5003240</v>
      </c>
      <c r="F1929">
        <f t="shared" si="19"/>
        <v>8</v>
      </c>
    </row>
    <row r="1930" spans="1:6">
      <c r="A1930">
        <v>5003240</v>
      </c>
      <c r="B1930">
        <v>2016</v>
      </c>
      <c r="C1930" s="10" t="s">
        <v>38</v>
      </c>
      <c r="D1930" s="15">
        <v>1713794</v>
      </c>
      <c r="E1930">
        <f>IFERROR(VLOOKUP(C1930,'LEAID Match'!$A$2:$B$214,2,FALSE),"")</f>
        <v>5003240</v>
      </c>
      <c r="F1930">
        <f t="shared" si="19"/>
        <v>8</v>
      </c>
    </row>
    <row r="1931" spans="1:6">
      <c r="A1931">
        <v>5003240</v>
      </c>
      <c r="B1931">
        <v>2017</v>
      </c>
      <c r="C1931" s="10" t="s">
        <v>38</v>
      </c>
      <c r="D1931" s="15">
        <v>1908810</v>
      </c>
      <c r="E1931">
        <f>IFERROR(VLOOKUP(C1931,'LEAID Match'!$A$2:$B$214,2,FALSE),"")</f>
        <v>5003240</v>
      </c>
      <c r="F1931">
        <f t="shared" si="19"/>
        <v>8</v>
      </c>
    </row>
    <row r="1932" spans="1:6">
      <c r="A1932">
        <v>5003240</v>
      </c>
      <c r="B1932">
        <v>2018</v>
      </c>
      <c r="C1932" s="10" t="s">
        <v>38</v>
      </c>
      <c r="D1932" s="15">
        <v>2694825</v>
      </c>
      <c r="E1932">
        <f>IFERROR(VLOOKUP(C1932,'LEAID Match'!$A$2:$B$214,2,FALSE),"")</f>
        <v>5003240</v>
      </c>
      <c r="F1932">
        <f t="shared" si="19"/>
        <v>8</v>
      </c>
    </row>
    <row r="1933" spans="1:6">
      <c r="A1933">
        <v>5003240</v>
      </c>
      <c r="B1933">
        <v>2019</v>
      </c>
      <c r="C1933" s="10" t="s">
        <v>38</v>
      </c>
      <c r="D1933" s="15">
        <v>2762709</v>
      </c>
      <c r="E1933">
        <f>IFERROR(VLOOKUP(C1933,'LEAID Match'!$A$2:$B$214,2,FALSE),"")</f>
        <v>5003240</v>
      </c>
      <c r="F1933">
        <f t="shared" si="19"/>
        <v>8</v>
      </c>
    </row>
    <row r="1934" spans="1:6">
      <c r="A1934">
        <v>5003240</v>
      </c>
      <c r="B1934">
        <v>2020</v>
      </c>
      <c r="C1934" s="10" t="s">
        <v>38</v>
      </c>
      <c r="D1934" s="15">
        <v>2950428</v>
      </c>
      <c r="E1934">
        <f>IFERROR(VLOOKUP(C1934,'LEAID Match'!$A$2:$B$214,2,FALSE),"")</f>
        <v>5003240</v>
      </c>
      <c r="F1934">
        <f t="shared" si="19"/>
        <v>8</v>
      </c>
    </row>
    <row r="1935" spans="1:6">
      <c r="A1935">
        <v>5003240</v>
      </c>
      <c r="B1935">
        <v>2021</v>
      </c>
      <c r="C1935" s="10" t="s">
        <v>38</v>
      </c>
      <c r="D1935" s="15">
        <v>3205847</v>
      </c>
      <c r="E1935">
        <f>IFERROR(VLOOKUP(C1935,'LEAID Match'!$A$2:$B$214,2,FALSE),"")</f>
        <v>5003240</v>
      </c>
      <c r="F1935">
        <f t="shared" si="19"/>
        <v>8</v>
      </c>
    </row>
    <row r="1936" spans="1:6">
      <c r="A1936">
        <v>5003240</v>
      </c>
      <c r="B1936">
        <v>2022</v>
      </c>
      <c r="C1936" s="10" t="s">
        <v>38</v>
      </c>
      <c r="D1936" s="15">
        <v>7992217</v>
      </c>
      <c r="E1936">
        <f>IFERROR(VLOOKUP(C1936,'LEAID Match'!$A$2:$B$214,2,FALSE),"")</f>
        <v>5003240</v>
      </c>
      <c r="F1936">
        <f t="shared" si="19"/>
        <v>8</v>
      </c>
    </row>
    <row r="1937" spans="1:6">
      <c r="A1937">
        <v>5003120</v>
      </c>
      <c r="B1937">
        <v>2015</v>
      </c>
      <c r="C1937" s="10" t="s">
        <v>36</v>
      </c>
      <c r="D1937" s="15">
        <v>124209.68</v>
      </c>
      <c r="E1937">
        <f>IFERROR(VLOOKUP(C1937,'LEAID Match'!$A$2:$B$214,2,FALSE),"")</f>
        <v>5003120</v>
      </c>
      <c r="F1937">
        <f t="shared" si="19"/>
        <v>8</v>
      </c>
    </row>
    <row r="1938" spans="1:6">
      <c r="A1938">
        <v>5003120</v>
      </c>
      <c r="B1938">
        <v>2016</v>
      </c>
      <c r="C1938" s="10" t="s">
        <v>36</v>
      </c>
      <c r="D1938" s="15">
        <v>129049.29</v>
      </c>
      <c r="E1938">
        <f>IFERROR(VLOOKUP(C1938,'LEAID Match'!$A$2:$B$214,2,FALSE),"")</f>
        <v>5003120</v>
      </c>
      <c r="F1938">
        <f t="shared" si="19"/>
        <v>8</v>
      </c>
    </row>
    <row r="1939" spans="1:6">
      <c r="A1939">
        <v>5003120</v>
      </c>
      <c r="B1939">
        <v>2017</v>
      </c>
      <c r="C1939" s="10" t="s">
        <v>36</v>
      </c>
      <c r="D1939" s="15">
        <v>139232</v>
      </c>
      <c r="E1939">
        <f>IFERROR(VLOOKUP(C1939,'LEAID Match'!$A$2:$B$214,2,FALSE),"")</f>
        <v>5003120</v>
      </c>
      <c r="F1939">
        <f t="shared" si="19"/>
        <v>8</v>
      </c>
    </row>
    <row r="1940" spans="1:6">
      <c r="A1940">
        <v>5003120</v>
      </c>
      <c r="B1940">
        <v>2018</v>
      </c>
      <c r="C1940" s="10" t="s">
        <v>36</v>
      </c>
      <c r="D1940" s="15">
        <v>196123</v>
      </c>
      <c r="E1940">
        <f>IFERROR(VLOOKUP(C1940,'LEAID Match'!$A$2:$B$214,2,FALSE),"")</f>
        <v>5003120</v>
      </c>
      <c r="F1940">
        <f t="shared" si="19"/>
        <v>8</v>
      </c>
    </row>
    <row r="1941" spans="1:6">
      <c r="A1941">
        <v>5003120</v>
      </c>
      <c r="B1941">
        <v>2019</v>
      </c>
      <c r="C1941" s="10" t="s">
        <v>36</v>
      </c>
      <c r="D1941" s="15">
        <v>0</v>
      </c>
      <c r="E1941">
        <f>IFERROR(VLOOKUP(C1941,'LEAID Match'!$A$2:$B$214,2,FALSE),"")</f>
        <v>5003120</v>
      </c>
      <c r="F1941">
        <f t="shared" si="19"/>
        <v>8</v>
      </c>
    </row>
    <row r="1942" spans="1:6">
      <c r="A1942">
        <v>5003120</v>
      </c>
      <c r="B1942">
        <v>2020</v>
      </c>
      <c r="C1942" s="10" t="s">
        <v>36</v>
      </c>
      <c r="D1942" s="15">
        <v>0</v>
      </c>
      <c r="E1942">
        <f>IFERROR(VLOOKUP(C1942,'LEAID Match'!$A$2:$B$214,2,FALSE),"")</f>
        <v>5003120</v>
      </c>
      <c r="F1942">
        <f t="shared" si="19"/>
        <v>8</v>
      </c>
    </row>
    <row r="1943" spans="1:6">
      <c r="A1943">
        <v>5003120</v>
      </c>
      <c r="B1943">
        <v>2021</v>
      </c>
      <c r="C1943" s="10" t="s">
        <v>36</v>
      </c>
      <c r="D1943" s="15">
        <v>0</v>
      </c>
      <c r="E1943">
        <f>IFERROR(VLOOKUP(C1943,'LEAID Match'!$A$2:$B$214,2,FALSE),"")</f>
        <v>5003120</v>
      </c>
      <c r="F1943">
        <f t="shared" si="19"/>
        <v>8</v>
      </c>
    </row>
    <row r="1944" spans="1:6">
      <c r="A1944">
        <v>5003120</v>
      </c>
      <c r="B1944">
        <v>2022</v>
      </c>
      <c r="C1944" s="10" t="s">
        <v>36</v>
      </c>
      <c r="D1944" s="15">
        <v>0</v>
      </c>
      <c r="E1944">
        <f>IFERROR(VLOOKUP(C1944,'LEAID Match'!$A$2:$B$214,2,FALSE),"")</f>
        <v>5003120</v>
      </c>
      <c r="F1944">
        <f t="shared" si="19"/>
        <v>8</v>
      </c>
    </row>
    <row r="1945" spans="1:6">
      <c r="A1945">
        <v>5003060</v>
      </c>
      <c r="B1945">
        <v>2015</v>
      </c>
      <c r="C1945" s="10" t="s">
        <v>34</v>
      </c>
      <c r="D1945" s="15">
        <v>98025.78</v>
      </c>
      <c r="E1945">
        <f>IFERROR(VLOOKUP(C1945,'LEAID Match'!$A$2:$B$214,2,FALSE),"")</f>
        <v>5003060</v>
      </c>
      <c r="F1945">
        <f t="shared" si="19"/>
        <v>8</v>
      </c>
    </row>
    <row r="1946" spans="1:6">
      <c r="A1946">
        <v>5003060</v>
      </c>
      <c r="B1946">
        <v>2016</v>
      </c>
      <c r="C1946" s="10" t="s">
        <v>34</v>
      </c>
      <c r="D1946" s="15">
        <v>93631.2</v>
      </c>
      <c r="E1946">
        <f>IFERROR(VLOOKUP(C1946,'LEAID Match'!$A$2:$B$214,2,FALSE),"")</f>
        <v>5003060</v>
      </c>
      <c r="F1946">
        <f t="shared" si="19"/>
        <v>8</v>
      </c>
    </row>
    <row r="1947" spans="1:6">
      <c r="A1947">
        <v>5003060</v>
      </c>
      <c r="B1947">
        <v>2017</v>
      </c>
      <c r="C1947" s="10" t="s">
        <v>34</v>
      </c>
      <c r="D1947" s="15">
        <v>87043</v>
      </c>
      <c r="E1947">
        <f>IFERROR(VLOOKUP(C1947,'LEAID Match'!$A$2:$B$214,2,FALSE),"")</f>
        <v>5003060</v>
      </c>
      <c r="F1947">
        <f t="shared" si="19"/>
        <v>8</v>
      </c>
    </row>
    <row r="1948" spans="1:6">
      <c r="A1948">
        <v>5003060</v>
      </c>
      <c r="B1948">
        <v>2018</v>
      </c>
      <c r="C1948" s="10" t="s">
        <v>34</v>
      </c>
      <c r="D1948" s="15">
        <v>129609</v>
      </c>
      <c r="E1948">
        <f>IFERROR(VLOOKUP(C1948,'LEAID Match'!$A$2:$B$214,2,FALSE),"")</f>
        <v>5003060</v>
      </c>
      <c r="F1948">
        <f t="shared" si="19"/>
        <v>8</v>
      </c>
    </row>
    <row r="1949" spans="1:6">
      <c r="A1949">
        <v>5003060</v>
      </c>
      <c r="B1949">
        <v>2019</v>
      </c>
      <c r="C1949" s="10" t="s">
        <v>34</v>
      </c>
      <c r="D1949" s="15">
        <v>134164</v>
      </c>
      <c r="E1949">
        <f>IFERROR(VLOOKUP(C1949,'LEAID Match'!$A$2:$B$214,2,FALSE),"")</f>
        <v>5003060</v>
      </c>
      <c r="F1949">
        <f t="shared" si="19"/>
        <v>8</v>
      </c>
    </row>
    <row r="1950" spans="1:6">
      <c r="A1950">
        <v>5003060</v>
      </c>
      <c r="B1950">
        <v>2020</v>
      </c>
      <c r="C1950" s="10" t="s">
        <v>34</v>
      </c>
      <c r="D1950" s="15">
        <v>146391</v>
      </c>
      <c r="E1950">
        <f>IFERROR(VLOOKUP(C1950,'LEAID Match'!$A$2:$B$214,2,FALSE),"")</f>
        <v>5003060</v>
      </c>
      <c r="F1950">
        <f t="shared" si="19"/>
        <v>8</v>
      </c>
    </row>
    <row r="1951" spans="1:6">
      <c r="A1951">
        <v>5003060</v>
      </c>
      <c r="B1951">
        <v>2021</v>
      </c>
      <c r="C1951" s="10" t="s">
        <v>34</v>
      </c>
      <c r="D1951" s="15">
        <v>153780</v>
      </c>
      <c r="E1951">
        <f>IFERROR(VLOOKUP(C1951,'LEAID Match'!$A$2:$B$214,2,FALSE),"")</f>
        <v>5003060</v>
      </c>
      <c r="F1951">
        <f t="shared" si="19"/>
        <v>8</v>
      </c>
    </row>
    <row r="1952" spans="1:6">
      <c r="A1952">
        <v>5003060</v>
      </c>
      <c r="B1952">
        <v>2022</v>
      </c>
      <c r="C1952" s="10" t="s">
        <v>34</v>
      </c>
      <c r="D1952" s="15">
        <v>378947</v>
      </c>
      <c r="E1952">
        <f>IFERROR(VLOOKUP(C1952,'LEAID Match'!$A$2:$B$214,2,FALSE),"")</f>
        <v>5003060</v>
      </c>
      <c r="F1952">
        <f t="shared" si="19"/>
        <v>8</v>
      </c>
    </row>
    <row r="1953" spans="1:6">
      <c r="A1953">
        <v>5003010</v>
      </c>
      <c r="B1953">
        <v>2015</v>
      </c>
      <c r="C1953" s="10" t="s">
        <v>33</v>
      </c>
      <c r="D1953" s="15">
        <v>73232.84</v>
      </c>
      <c r="E1953">
        <f>IFERROR(VLOOKUP(C1953,'LEAID Match'!$A$2:$B$214,2,FALSE),"")</f>
        <v>5003010</v>
      </c>
      <c r="F1953">
        <f t="shared" si="19"/>
        <v>8</v>
      </c>
    </row>
    <row r="1954" spans="1:6">
      <c r="A1954">
        <v>5003010</v>
      </c>
      <c r="B1954">
        <v>2016</v>
      </c>
      <c r="C1954" s="10" t="s">
        <v>33</v>
      </c>
      <c r="D1954" s="15">
        <v>70465.350000000006</v>
      </c>
      <c r="E1954">
        <f>IFERROR(VLOOKUP(C1954,'LEAID Match'!$A$2:$B$214,2,FALSE),"")</f>
        <v>5003010</v>
      </c>
      <c r="F1954">
        <f t="shared" si="19"/>
        <v>8</v>
      </c>
    </row>
    <row r="1955" spans="1:6">
      <c r="A1955">
        <v>5003010</v>
      </c>
      <c r="B1955">
        <v>2017</v>
      </c>
      <c r="C1955" s="10" t="s">
        <v>33</v>
      </c>
      <c r="D1955" s="15">
        <v>70696</v>
      </c>
      <c r="E1955">
        <f>IFERROR(VLOOKUP(C1955,'LEAID Match'!$A$2:$B$214,2,FALSE),"")</f>
        <v>5003010</v>
      </c>
      <c r="F1955">
        <f t="shared" si="19"/>
        <v>8</v>
      </c>
    </row>
    <row r="1956" spans="1:6">
      <c r="A1956">
        <v>5003010</v>
      </c>
      <c r="B1956">
        <v>2018</v>
      </c>
      <c r="C1956" s="10" t="s">
        <v>33</v>
      </c>
      <c r="D1956" s="15">
        <v>100373</v>
      </c>
      <c r="E1956">
        <f>IFERROR(VLOOKUP(C1956,'LEAID Match'!$A$2:$B$214,2,FALSE),"")</f>
        <v>5003010</v>
      </c>
      <c r="F1956">
        <f t="shared" si="19"/>
        <v>8</v>
      </c>
    </row>
    <row r="1957" spans="1:6">
      <c r="A1957">
        <v>5003010</v>
      </c>
      <c r="B1957">
        <v>2019</v>
      </c>
      <c r="C1957" s="10" t="s">
        <v>33</v>
      </c>
      <c r="D1957" s="15">
        <v>0</v>
      </c>
      <c r="E1957">
        <f>IFERROR(VLOOKUP(C1957,'LEAID Match'!$A$2:$B$214,2,FALSE),"")</f>
        <v>5003010</v>
      </c>
      <c r="F1957">
        <f t="shared" si="19"/>
        <v>8</v>
      </c>
    </row>
    <row r="1958" spans="1:6">
      <c r="A1958">
        <v>5003010</v>
      </c>
      <c r="B1958">
        <v>2020</v>
      </c>
      <c r="C1958" s="10" t="s">
        <v>33</v>
      </c>
      <c r="D1958" s="15">
        <v>0</v>
      </c>
      <c r="E1958">
        <f>IFERROR(VLOOKUP(C1958,'LEAID Match'!$A$2:$B$214,2,FALSE),"")</f>
        <v>5003010</v>
      </c>
      <c r="F1958">
        <f t="shared" si="19"/>
        <v>8</v>
      </c>
    </row>
    <row r="1959" spans="1:6">
      <c r="A1959">
        <v>5003010</v>
      </c>
      <c r="B1959">
        <v>2021</v>
      </c>
      <c r="C1959" s="10" t="s">
        <v>33</v>
      </c>
      <c r="D1959" s="15">
        <v>0</v>
      </c>
      <c r="E1959">
        <f>IFERROR(VLOOKUP(C1959,'LEAID Match'!$A$2:$B$214,2,FALSE),"")</f>
        <v>5003010</v>
      </c>
      <c r="F1959">
        <f t="shared" si="19"/>
        <v>8</v>
      </c>
    </row>
    <row r="1960" spans="1:6">
      <c r="A1960">
        <v>5003010</v>
      </c>
      <c r="B1960">
        <v>2022</v>
      </c>
      <c r="C1960" s="10" t="s">
        <v>33</v>
      </c>
      <c r="D1960" s="15">
        <v>0</v>
      </c>
      <c r="E1960">
        <f>IFERROR(VLOOKUP(C1960,'LEAID Match'!$A$2:$B$214,2,FALSE),"")</f>
        <v>5003010</v>
      </c>
      <c r="F1960">
        <f t="shared" si="19"/>
        <v>8</v>
      </c>
    </row>
    <row r="1961" spans="1:6">
      <c r="A1961">
        <v>5002940</v>
      </c>
      <c r="B1961">
        <v>2015</v>
      </c>
      <c r="C1961" s="10" t="s">
        <v>31</v>
      </c>
      <c r="D1961" s="15">
        <v>170043.76</v>
      </c>
      <c r="E1961">
        <f>IFERROR(VLOOKUP(C1961,'LEAID Match'!$A$2:$B$214,2,FALSE),"")</f>
        <v>5002940</v>
      </c>
      <c r="F1961">
        <f t="shared" si="19"/>
        <v>8</v>
      </c>
    </row>
    <row r="1962" spans="1:6">
      <c r="A1962">
        <v>5002940</v>
      </c>
      <c r="B1962">
        <v>2016</v>
      </c>
      <c r="C1962" s="10" t="s">
        <v>31</v>
      </c>
      <c r="D1962" s="15">
        <v>170899.03</v>
      </c>
      <c r="E1962">
        <f>IFERROR(VLOOKUP(C1962,'LEAID Match'!$A$2:$B$214,2,FALSE),"")</f>
        <v>5002940</v>
      </c>
      <c r="F1962">
        <f t="shared" si="19"/>
        <v>8</v>
      </c>
    </row>
    <row r="1963" spans="1:6">
      <c r="A1963">
        <v>5002940</v>
      </c>
      <c r="B1963">
        <v>2017</v>
      </c>
      <c r="C1963" s="10" t="s">
        <v>31</v>
      </c>
      <c r="D1963" s="15">
        <v>182430</v>
      </c>
      <c r="E1963">
        <f>IFERROR(VLOOKUP(C1963,'LEAID Match'!$A$2:$B$214,2,FALSE),"")</f>
        <v>5002940</v>
      </c>
      <c r="F1963">
        <f t="shared" si="19"/>
        <v>8</v>
      </c>
    </row>
    <row r="1964" spans="1:6">
      <c r="A1964">
        <v>5002940</v>
      </c>
      <c r="B1964">
        <v>2018</v>
      </c>
      <c r="C1964" s="10" t="s">
        <v>31</v>
      </c>
      <c r="D1964" s="15">
        <v>265310</v>
      </c>
      <c r="E1964">
        <f>IFERROR(VLOOKUP(C1964,'LEAID Match'!$A$2:$B$214,2,FALSE),"")</f>
        <v>5002940</v>
      </c>
      <c r="F1964">
        <f t="shared" si="19"/>
        <v>8</v>
      </c>
    </row>
    <row r="1965" spans="1:6">
      <c r="A1965">
        <v>5002940</v>
      </c>
      <c r="B1965">
        <v>2019</v>
      </c>
      <c r="C1965" s="10" t="s">
        <v>31</v>
      </c>
      <c r="D1965" s="15">
        <v>283390</v>
      </c>
      <c r="E1965">
        <f>IFERROR(VLOOKUP(C1965,'LEAID Match'!$A$2:$B$214,2,FALSE),"")</f>
        <v>5002940</v>
      </c>
      <c r="F1965">
        <f t="shared" si="19"/>
        <v>8</v>
      </c>
    </row>
    <row r="1966" spans="1:6">
      <c r="A1966">
        <v>5002940</v>
      </c>
      <c r="B1966">
        <v>2020</v>
      </c>
      <c r="C1966" s="10" t="s">
        <v>31</v>
      </c>
      <c r="D1966" s="15">
        <v>310048</v>
      </c>
      <c r="E1966">
        <f>IFERROR(VLOOKUP(C1966,'LEAID Match'!$A$2:$B$214,2,FALSE),"")</f>
        <v>5002940</v>
      </c>
      <c r="F1966">
        <f t="shared" si="19"/>
        <v>8</v>
      </c>
    </row>
    <row r="1967" spans="1:6">
      <c r="A1967">
        <v>5002940</v>
      </c>
      <c r="B1967">
        <v>2021</v>
      </c>
      <c r="C1967" s="10" t="s">
        <v>31</v>
      </c>
      <c r="D1967" s="15">
        <v>322001</v>
      </c>
      <c r="E1967">
        <f>IFERROR(VLOOKUP(C1967,'LEAID Match'!$A$2:$B$214,2,FALSE),"")</f>
        <v>5002940</v>
      </c>
      <c r="F1967">
        <f t="shared" si="19"/>
        <v>8</v>
      </c>
    </row>
    <row r="1968" spans="1:6">
      <c r="A1968">
        <v>5002940</v>
      </c>
      <c r="B1968">
        <v>2022</v>
      </c>
      <c r="C1968" s="10" t="s">
        <v>31</v>
      </c>
      <c r="D1968" s="15">
        <v>912685</v>
      </c>
      <c r="E1968">
        <f>IFERROR(VLOOKUP(C1968,'LEAID Match'!$A$2:$B$214,2,FALSE),"")</f>
        <v>5002940</v>
      </c>
      <c r="F1968">
        <f t="shared" si="19"/>
        <v>8</v>
      </c>
    </row>
    <row r="1969" spans="1:6">
      <c r="A1969">
        <v>5002910</v>
      </c>
      <c r="B1969">
        <v>2015</v>
      </c>
      <c r="C1969" s="10" t="s">
        <v>30</v>
      </c>
      <c r="D1969" s="15">
        <v>235605.93</v>
      </c>
      <c r="E1969">
        <f>IFERROR(VLOOKUP(C1969,'LEAID Match'!$A$2:$B$214,2,FALSE),"")</f>
        <v>5002910</v>
      </c>
      <c r="F1969">
        <f t="shared" si="19"/>
        <v>8</v>
      </c>
    </row>
    <row r="1970" spans="1:6">
      <c r="A1970">
        <v>5002910</v>
      </c>
      <c r="B1970">
        <v>2016</v>
      </c>
      <c r="C1970" s="10" t="s">
        <v>30</v>
      </c>
      <c r="D1970" s="15">
        <v>231894.76</v>
      </c>
      <c r="E1970">
        <f>IFERROR(VLOOKUP(C1970,'LEAID Match'!$A$2:$B$214,2,FALSE),"")</f>
        <v>5002910</v>
      </c>
      <c r="F1970">
        <f t="shared" si="19"/>
        <v>8</v>
      </c>
    </row>
    <row r="1971" spans="1:6">
      <c r="A1971">
        <v>5002910</v>
      </c>
      <c r="B1971">
        <v>2017</v>
      </c>
      <c r="C1971" s="10" t="s">
        <v>30</v>
      </c>
      <c r="D1971" s="15">
        <v>198645</v>
      </c>
      <c r="E1971">
        <f>IFERROR(VLOOKUP(C1971,'LEAID Match'!$A$2:$B$214,2,FALSE),"")</f>
        <v>5002910</v>
      </c>
      <c r="F1971">
        <f t="shared" si="19"/>
        <v>8</v>
      </c>
    </row>
    <row r="1972" spans="1:6">
      <c r="A1972">
        <v>5002910</v>
      </c>
      <c r="B1972">
        <v>2018</v>
      </c>
      <c r="C1972" s="10" t="s">
        <v>30</v>
      </c>
      <c r="D1972" s="15">
        <v>272569</v>
      </c>
      <c r="E1972">
        <f>IFERROR(VLOOKUP(C1972,'LEAID Match'!$A$2:$B$214,2,FALSE),"")</f>
        <v>5002910</v>
      </c>
      <c r="F1972">
        <f t="shared" si="19"/>
        <v>8</v>
      </c>
    </row>
    <row r="1973" spans="1:6">
      <c r="A1973">
        <v>5002910</v>
      </c>
      <c r="B1973">
        <v>2019</v>
      </c>
      <c r="C1973" s="10" t="s">
        <v>30</v>
      </c>
      <c r="D1973" s="15">
        <v>275094</v>
      </c>
      <c r="E1973">
        <f>IFERROR(VLOOKUP(C1973,'LEAID Match'!$A$2:$B$214,2,FALSE),"")</f>
        <v>5002910</v>
      </c>
      <c r="F1973">
        <f t="shared" si="19"/>
        <v>8</v>
      </c>
    </row>
    <row r="1974" spans="1:6">
      <c r="A1974">
        <v>5002910</v>
      </c>
      <c r="B1974">
        <v>2020</v>
      </c>
      <c r="C1974" s="10" t="s">
        <v>30</v>
      </c>
      <c r="D1974" s="15">
        <v>267865</v>
      </c>
      <c r="E1974">
        <f>IFERROR(VLOOKUP(C1974,'LEAID Match'!$A$2:$B$214,2,FALSE),"")</f>
        <v>5002910</v>
      </c>
      <c r="F1974">
        <f t="shared" si="19"/>
        <v>8</v>
      </c>
    </row>
    <row r="1975" spans="1:6">
      <c r="A1975">
        <v>5002910</v>
      </c>
      <c r="B1975">
        <v>2021</v>
      </c>
      <c r="C1975" s="10" t="s">
        <v>30</v>
      </c>
      <c r="D1975" s="15">
        <v>293588</v>
      </c>
      <c r="E1975">
        <f>IFERROR(VLOOKUP(C1975,'LEAID Match'!$A$2:$B$214,2,FALSE),"")</f>
        <v>5002910</v>
      </c>
      <c r="F1975">
        <f t="shared" si="19"/>
        <v>8</v>
      </c>
    </row>
    <row r="1976" spans="1:6">
      <c r="A1976">
        <v>5002910</v>
      </c>
      <c r="B1976">
        <v>2022</v>
      </c>
      <c r="C1976" s="10" t="s">
        <v>30</v>
      </c>
      <c r="D1976" s="15">
        <v>786212</v>
      </c>
      <c r="E1976">
        <f>IFERROR(VLOOKUP(C1976,'LEAID Match'!$A$2:$B$214,2,FALSE),"")</f>
        <v>5002910</v>
      </c>
      <c r="F1976">
        <f t="shared" si="19"/>
        <v>8</v>
      </c>
    </row>
    <row r="1977" spans="1:6">
      <c r="A1977">
        <v>5002880</v>
      </c>
      <c r="B1977">
        <v>2015</v>
      </c>
      <c r="C1977" s="10" t="s">
        <v>29</v>
      </c>
      <c r="D1977" s="15">
        <v>81924.639999999999</v>
      </c>
      <c r="E1977">
        <f>IFERROR(VLOOKUP(C1977,'LEAID Match'!$A$2:$B$214,2,FALSE),"")</f>
        <v>5002880</v>
      </c>
      <c r="F1977">
        <f t="shared" si="19"/>
        <v>8</v>
      </c>
    </row>
    <row r="1978" spans="1:6">
      <c r="A1978">
        <v>5002880</v>
      </c>
      <c r="B1978">
        <v>2016</v>
      </c>
      <c r="C1978" s="10" t="s">
        <v>29</v>
      </c>
      <c r="D1978" s="15">
        <v>86389.57</v>
      </c>
      <c r="E1978">
        <f>IFERROR(VLOOKUP(C1978,'LEAID Match'!$A$2:$B$214,2,FALSE),"")</f>
        <v>5002880</v>
      </c>
      <c r="F1978">
        <f t="shared" si="19"/>
        <v>8</v>
      </c>
    </row>
    <row r="1979" spans="1:6">
      <c r="A1979">
        <v>5002880</v>
      </c>
      <c r="B1979">
        <v>2017</v>
      </c>
      <c r="C1979" s="10" t="s">
        <v>29</v>
      </c>
      <c r="D1979" s="15">
        <v>94559</v>
      </c>
      <c r="E1979">
        <f>IFERROR(VLOOKUP(C1979,'LEAID Match'!$A$2:$B$214,2,FALSE),"")</f>
        <v>5002880</v>
      </c>
      <c r="F1979">
        <f t="shared" si="19"/>
        <v>8</v>
      </c>
    </row>
    <row r="1980" spans="1:6">
      <c r="A1980">
        <v>5002880</v>
      </c>
      <c r="B1980">
        <v>2018</v>
      </c>
      <c r="C1980" s="10" t="s">
        <v>29</v>
      </c>
      <c r="D1980" s="15">
        <v>129678</v>
      </c>
      <c r="E1980">
        <f>IFERROR(VLOOKUP(C1980,'LEAID Match'!$A$2:$B$214,2,FALSE),"")</f>
        <v>5002880</v>
      </c>
      <c r="F1980">
        <f t="shared" si="19"/>
        <v>8</v>
      </c>
    </row>
    <row r="1981" spans="1:6">
      <c r="A1981">
        <v>5002880</v>
      </c>
      <c r="B1981">
        <v>2019</v>
      </c>
      <c r="C1981" s="10" t="s">
        <v>29</v>
      </c>
      <c r="D1981" s="15">
        <v>128331</v>
      </c>
      <c r="E1981">
        <f>IFERROR(VLOOKUP(C1981,'LEAID Match'!$A$2:$B$214,2,FALSE),"")</f>
        <v>5002880</v>
      </c>
      <c r="F1981">
        <f t="shared" si="19"/>
        <v>8</v>
      </c>
    </row>
    <row r="1982" spans="1:6">
      <c r="A1982">
        <v>5002880</v>
      </c>
      <c r="B1982">
        <v>2020</v>
      </c>
      <c r="C1982" s="10" t="s">
        <v>29</v>
      </c>
      <c r="D1982" s="15">
        <v>0</v>
      </c>
      <c r="E1982">
        <f>IFERROR(VLOOKUP(C1982,'LEAID Match'!$A$2:$B$214,2,FALSE),"")</f>
        <v>5002880</v>
      </c>
      <c r="F1982">
        <f t="shared" si="19"/>
        <v>8</v>
      </c>
    </row>
    <row r="1983" spans="1:6">
      <c r="A1983">
        <v>5002880</v>
      </c>
      <c r="B1983">
        <v>2021</v>
      </c>
      <c r="C1983" s="10" t="s">
        <v>29</v>
      </c>
      <c r="D1983" s="15">
        <v>0</v>
      </c>
      <c r="E1983">
        <f>IFERROR(VLOOKUP(C1983,'LEAID Match'!$A$2:$B$214,2,FALSE),"")</f>
        <v>5002880</v>
      </c>
      <c r="F1983">
        <f t="shared" si="19"/>
        <v>8</v>
      </c>
    </row>
    <row r="1984" spans="1:6">
      <c r="A1984">
        <v>5002880</v>
      </c>
      <c r="B1984">
        <v>2022</v>
      </c>
      <c r="C1984" s="10" t="s">
        <v>29</v>
      </c>
      <c r="D1984" s="15">
        <v>0</v>
      </c>
      <c r="E1984">
        <f>IFERROR(VLOOKUP(C1984,'LEAID Match'!$A$2:$B$214,2,FALSE),"")</f>
        <v>5002880</v>
      </c>
      <c r="F1984">
        <f t="shared" si="19"/>
        <v>8</v>
      </c>
    </row>
    <row r="1985" spans="1:6">
      <c r="A1985">
        <v>5002850</v>
      </c>
      <c r="B1985">
        <v>2015</v>
      </c>
      <c r="C1985" s="10" t="s">
        <v>28</v>
      </c>
      <c r="D1985" s="15">
        <v>134026.26999999999</v>
      </c>
      <c r="E1985">
        <f>IFERROR(VLOOKUP(C1985,'LEAID Match'!$A$2:$B$214,2,FALSE),"")</f>
        <v>5002850</v>
      </c>
      <c r="F1985">
        <f t="shared" si="19"/>
        <v>8</v>
      </c>
    </row>
    <row r="1986" spans="1:6">
      <c r="A1986">
        <v>5002850</v>
      </c>
      <c r="B1986">
        <v>2016</v>
      </c>
      <c r="C1986" s="10" t="s">
        <v>28</v>
      </c>
      <c r="D1986" s="15">
        <v>132091.79</v>
      </c>
      <c r="E1986">
        <f>IFERROR(VLOOKUP(C1986,'LEAID Match'!$A$2:$B$214,2,FALSE),"")</f>
        <v>5002850</v>
      </c>
      <c r="F1986">
        <f t="shared" ref="F1986:F2049" si="20">COUNTIF($A$705:$A$2272,A1986)</f>
        <v>8</v>
      </c>
    </row>
    <row r="1987" spans="1:6">
      <c r="A1987">
        <v>5002850</v>
      </c>
      <c r="B1987">
        <v>2017</v>
      </c>
      <c r="C1987" s="10" t="s">
        <v>28</v>
      </c>
      <c r="D1987" s="15">
        <v>151041</v>
      </c>
      <c r="E1987">
        <f>IFERROR(VLOOKUP(C1987,'LEAID Match'!$A$2:$B$214,2,FALSE),"")</f>
        <v>5002850</v>
      </c>
      <c r="F1987">
        <f t="shared" si="20"/>
        <v>8</v>
      </c>
    </row>
    <row r="1988" spans="1:6">
      <c r="A1988">
        <v>5002850</v>
      </c>
      <c r="B1988">
        <v>2018</v>
      </c>
      <c r="C1988" s="10" t="s">
        <v>28</v>
      </c>
      <c r="D1988" s="15">
        <v>208578</v>
      </c>
      <c r="E1988">
        <f>IFERROR(VLOOKUP(C1988,'LEAID Match'!$A$2:$B$214,2,FALSE),"")</f>
        <v>5002850</v>
      </c>
      <c r="F1988">
        <f t="shared" si="20"/>
        <v>8</v>
      </c>
    </row>
    <row r="1989" spans="1:6">
      <c r="A1989">
        <v>5002850</v>
      </c>
      <c r="B1989">
        <v>2019</v>
      </c>
      <c r="C1989" s="10" t="s">
        <v>28</v>
      </c>
      <c r="D1989" s="15">
        <v>211345</v>
      </c>
      <c r="E1989">
        <f>IFERROR(VLOOKUP(C1989,'LEAID Match'!$A$2:$B$214,2,FALSE),"")</f>
        <v>5002850</v>
      </c>
      <c r="F1989">
        <f t="shared" si="20"/>
        <v>8</v>
      </c>
    </row>
    <row r="1990" spans="1:6">
      <c r="A1990">
        <v>5002850</v>
      </c>
      <c r="B1990">
        <v>2020</v>
      </c>
      <c r="C1990" s="10" t="s">
        <v>28</v>
      </c>
      <c r="D1990" s="15">
        <v>239531</v>
      </c>
      <c r="E1990">
        <f>IFERROR(VLOOKUP(C1990,'LEAID Match'!$A$2:$B$214,2,FALSE),"")</f>
        <v>5002850</v>
      </c>
      <c r="F1990">
        <f t="shared" si="20"/>
        <v>8</v>
      </c>
    </row>
    <row r="1991" spans="1:6">
      <c r="A1991">
        <v>5002850</v>
      </c>
      <c r="B1991">
        <v>2021</v>
      </c>
      <c r="C1991" s="10" t="s">
        <v>28</v>
      </c>
      <c r="D1991" s="15">
        <v>230915</v>
      </c>
      <c r="E1991">
        <f>IFERROR(VLOOKUP(C1991,'LEAID Match'!$A$2:$B$214,2,FALSE),"")</f>
        <v>5002850</v>
      </c>
      <c r="F1991">
        <f t="shared" si="20"/>
        <v>8</v>
      </c>
    </row>
    <row r="1992" spans="1:6">
      <c r="A1992">
        <v>5002850</v>
      </c>
      <c r="B1992">
        <v>2022</v>
      </c>
      <c r="C1992" s="10" t="s">
        <v>28</v>
      </c>
      <c r="D1992" s="15">
        <v>515807</v>
      </c>
      <c r="E1992">
        <f>IFERROR(VLOOKUP(C1992,'LEAID Match'!$A$2:$B$214,2,FALSE),"")</f>
        <v>5002850</v>
      </c>
      <c r="F1992">
        <f t="shared" si="20"/>
        <v>8</v>
      </c>
    </row>
    <row r="1993" spans="1:6">
      <c r="A1993">
        <v>5002820</v>
      </c>
      <c r="B1993">
        <v>2015</v>
      </c>
      <c r="C1993" s="10" t="s">
        <v>27</v>
      </c>
      <c r="D1993" s="15">
        <v>3500195.77</v>
      </c>
      <c r="E1993">
        <f>IFERROR(VLOOKUP(C1993,'LEAID Match'!$A$2:$B$214,2,FALSE),"")</f>
        <v>5002820</v>
      </c>
      <c r="F1993">
        <f t="shared" si="20"/>
        <v>8</v>
      </c>
    </row>
    <row r="1994" spans="1:6">
      <c r="A1994">
        <v>5002820</v>
      </c>
      <c r="B1994">
        <v>2016</v>
      </c>
      <c r="C1994" s="10" t="s">
        <v>27</v>
      </c>
      <c r="D1994" s="15">
        <v>3410479.12</v>
      </c>
      <c r="E1994">
        <f>IFERROR(VLOOKUP(C1994,'LEAID Match'!$A$2:$B$214,2,FALSE),"")</f>
        <v>5002820</v>
      </c>
      <c r="F1994">
        <f t="shared" si="20"/>
        <v>8</v>
      </c>
    </row>
    <row r="1995" spans="1:6">
      <c r="A1995">
        <v>5002820</v>
      </c>
      <c r="B1995">
        <v>2017</v>
      </c>
      <c r="C1995" s="10" t="s">
        <v>27</v>
      </c>
      <c r="D1995" s="15">
        <v>3576586</v>
      </c>
      <c r="E1995">
        <f>IFERROR(VLOOKUP(C1995,'LEAID Match'!$A$2:$B$214,2,FALSE),"")</f>
        <v>5002820</v>
      </c>
      <c r="F1995">
        <f t="shared" si="20"/>
        <v>8</v>
      </c>
    </row>
    <row r="1996" spans="1:6">
      <c r="A1996">
        <v>5002820</v>
      </c>
      <c r="B1996">
        <v>2018</v>
      </c>
      <c r="C1996" s="10" t="s">
        <v>27</v>
      </c>
      <c r="D1996" s="15">
        <v>4958630</v>
      </c>
      <c r="E1996">
        <f>IFERROR(VLOOKUP(C1996,'LEAID Match'!$A$2:$B$214,2,FALSE),"")</f>
        <v>5002820</v>
      </c>
      <c r="F1996">
        <f t="shared" si="20"/>
        <v>8</v>
      </c>
    </row>
    <row r="1997" spans="1:6">
      <c r="A1997">
        <v>5002820</v>
      </c>
      <c r="B1997">
        <v>2019</v>
      </c>
      <c r="C1997" s="10" t="s">
        <v>27</v>
      </c>
      <c r="D1997" s="15">
        <v>5215972</v>
      </c>
      <c r="E1997">
        <f>IFERROR(VLOOKUP(C1997,'LEAID Match'!$A$2:$B$214,2,FALSE),"")</f>
        <v>5002820</v>
      </c>
      <c r="F1997">
        <f t="shared" si="20"/>
        <v>8</v>
      </c>
    </row>
    <row r="1998" spans="1:6">
      <c r="A1998">
        <v>5002820</v>
      </c>
      <c r="B1998">
        <v>2020</v>
      </c>
      <c r="C1998" s="10" t="s">
        <v>27</v>
      </c>
      <c r="D1998" s="15">
        <v>5540904</v>
      </c>
      <c r="E1998">
        <f>IFERROR(VLOOKUP(C1998,'LEAID Match'!$A$2:$B$214,2,FALSE),"")</f>
        <v>5002820</v>
      </c>
      <c r="F1998">
        <f t="shared" si="20"/>
        <v>8</v>
      </c>
    </row>
    <row r="1999" spans="1:6">
      <c r="A1999">
        <v>5002820</v>
      </c>
      <c r="B1999">
        <v>2021</v>
      </c>
      <c r="C1999" s="10" t="s">
        <v>27</v>
      </c>
      <c r="D1999" s="15">
        <v>5929172</v>
      </c>
      <c r="E1999">
        <f>IFERROR(VLOOKUP(C1999,'LEAID Match'!$A$2:$B$214,2,FALSE),"")</f>
        <v>5002820</v>
      </c>
      <c r="F1999">
        <f t="shared" si="20"/>
        <v>8</v>
      </c>
    </row>
    <row r="2000" spans="1:6">
      <c r="A2000">
        <v>5002820</v>
      </c>
      <c r="B2000">
        <v>2022</v>
      </c>
      <c r="C2000" s="10" t="s">
        <v>27</v>
      </c>
      <c r="D2000" s="15">
        <v>14780207</v>
      </c>
      <c r="E2000">
        <f>IFERROR(VLOOKUP(C2000,'LEAID Match'!$A$2:$B$214,2,FALSE),"")</f>
        <v>5002820</v>
      </c>
      <c r="F2000">
        <f t="shared" si="20"/>
        <v>8</v>
      </c>
    </row>
    <row r="2001" spans="1:6">
      <c r="A2001">
        <v>5002790</v>
      </c>
      <c r="B2001">
        <v>2015</v>
      </c>
      <c r="C2001" s="10" t="s">
        <v>26</v>
      </c>
      <c r="D2001" s="15">
        <v>98183.7</v>
      </c>
      <c r="E2001">
        <f>IFERROR(VLOOKUP(C2001,'LEAID Match'!$A$2:$B$214,2,FALSE),"")</f>
        <v>5002790</v>
      </c>
      <c r="F2001">
        <f t="shared" si="20"/>
        <v>8</v>
      </c>
    </row>
    <row r="2002" spans="1:6">
      <c r="A2002">
        <v>5002790</v>
      </c>
      <c r="B2002">
        <v>2016</v>
      </c>
      <c r="C2002" s="10" t="s">
        <v>26</v>
      </c>
      <c r="D2002" s="15">
        <v>127895.41</v>
      </c>
      <c r="E2002">
        <f>IFERROR(VLOOKUP(C2002,'LEAID Match'!$A$2:$B$214,2,FALSE),"")</f>
        <v>5002790</v>
      </c>
      <c r="F2002">
        <f t="shared" si="20"/>
        <v>8</v>
      </c>
    </row>
    <row r="2003" spans="1:6">
      <c r="A2003">
        <v>5002790</v>
      </c>
      <c r="B2003">
        <v>2017</v>
      </c>
      <c r="C2003" s="10" t="s">
        <v>26</v>
      </c>
      <c r="D2003" s="15">
        <v>134752</v>
      </c>
      <c r="E2003">
        <f>IFERROR(VLOOKUP(C2003,'LEAID Match'!$A$2:$B$214,2,FALSE),"")</f>
        <v>5002790</v>
      </c>
      <c r="F2003">
        <f t="shared" si="20"/>
        <v>8</v>
      </c>
    </row>
    <row r="2004" spans="1:6">
      <c r="A2004">
        <v>5002790</v>
      </c>
      <c r="B2004">
        <v>2018</v>
      </c>
      <c r="C2004" s="10" t="s">
        <v>26</v>
      </c>
      <c r="D2004" s="15">
        <v>194614</v>
      </c>
      <c r="E2004">
        <f>IFERROR(VLOOKUP(C2004,'LEAID Match'!$A$2:$B$214,2,FALSE),"")</f>
        <v>5002790</v>
      </c>
      <c r="F2004">
        <f t="shared" si="20"/>
        <v>8</v>
      </c>
    </row>
    <row r="2005" spans="1:6">
      <c r="A2005">
        <v>5002790</v>
      </c>
      <c r="B2005">
        <v>2019</v>
      </c>
      <c r="C2005" s="10" t="s">
        <v>26</v>
      </c>
      <c r="D2005" s="15">
        <v>0</v>
      </c>
      <c r="E2005">
        <f>IFERROR(VLOOKUP(C2005,'LEAID Match'!$A$2:$B$214,2,FALSE),"")</f>
        <v>5002790</v>
      </c>
      <c r="F2005">
        <f t="shared" si="20"/>
        <v>8</v>
      </c>
    </row>
    <row r="2006" spans="1:6">
      <c r="A2006">
        <v>5002790</v>
      </c>
      <c r="B2006">
        <v>2020</v>
      </c>
      <c r="C2006" s="10" t="s">
        <v>26</v>
      </c>
      <c r="D2006" s="15">
        <v>0</v>
      </c>
      <c r="E2006">
        <f>IFERROR(VLOOKUP(C2006,'LEAID Match'!$A$2:$B$214,2,FALSE),"")</f>
        <v>5002790</v>
      </c>
      <c r="F2006">
        <f t="shared" si="20"/>
        <v>8</v>
      </c>
    </row>
    <row r="2007" spans="1:6">
      <c r="A2007">
        <v>5002790</v>
      </c>
      <c r="B2007">
        <v>2021</v>
      </c>
      <c r="C2007" s="10" t="s">
        <v>26</v>
      </c>
      <c r="D2007" s="15">
        <v>0</v>
      </c>
      <c r="E2007">
        <f>IFERROR(VLOOKUP(C2007,'LEAID Match'!$A$2:$B$214,2,FALSE),"")</f>
        <v>5002790</v>
      </c>
      <c r="F2007">
        <f t="shared" si="20"/>
        <v>8</v>
      </c>
    </row>
    <row r="2008" spans="1:6">
      <c r="A2008">
        <v>5002790</v>
      </c>
      <c r="B2008">
        <v>2022</v>
      </c>
      <c r="C2008" s="10" t="s">
        <v>26</v>
      </c>
      <c r="D2008" s="30">
        <v>0</v>
      </c>
      <c r="E2008">
        <f>IFERROR(VLOOKUP(C2008,'LEAID Match'!$A$2:$B$214,2,FALSE),"")</f>
        <v>5002790</v>
      </c>
      <c r="F2008">
        <f t="shared" si="20"/>
        <v>8</v>
      </c>
    </row>
    <row r="2009" spans="1:6">
      <c r="A2009">
        <v>5002730</v>
      </c>
      <c r="B2009">
        <v>2015</v>
      </c>
      <c r="C2009" s="10" t="s">
        <v>25</v>
      </c>
      <c r="D2009" s="15">
        <v>71565</v>
      </c>
      <c r="E2009">
        <f>IFERROR(VLOOKUP(C2009,'LEAID Match'!$A$2:$B$214,2,FALSE),"")</f>
        <v>5002730</v>
      </c>
      <c r="F2009">
        <f t="shared" si="20"/>
        <v>8</v>
      </c>
    </row>
    <row r="2010" spans="1:6">
      <c r="A2010">
        <v>5002730</v>
      </c>
      <c r="B2010">
        <v>2016</v>
      </c>
      <c r="C2010" s="10" t="s">
        <v>25</v>
      </c>
      <c r="D2010" s="15">
        <v>63398.16</v>
      </c>
      <c r="E2010">
        <f>IFERROR(VLOOKUP(C2010,'LEAID Match'!$A$2:$B$214,2,FALSE),"")</f>
        <v>5002730</v>
      </c>
      <c r="F2010">
        <f t="shared" si="20"/>
        <v>8</v>
      </c>
    </row>
    <row r="2011" spans="1:6">
      <c r="A2011">
        <v>5002730</v>
      </c>
      <c r="B2011">
        <v>2017</v>
      </c>
      <c r="C2011" s="10" t="s">
        <v>25</v>
      </c>
      <c r="D2011" s="15">
        <v>68630</v>
      </c>
      <c r="E2011">
        <f>IFERROR(VLOOKUP(C2011,'LEAID Match'!$A$2:$B$214,2,FALSE),"")</f>
        <v>5002730</v>
      </c>
      <c r="F2011">
        <f t="shared" si="20"/>
        <v>8</v>
      </c>
    </row>
    <row r="2012" spans="1:6">
      <c r="A2012">
        <v>5002730</v>
      </c>
      <c r="B2012">
        <v>2018</v>
      </c>
      <c r="C2012" s="10" t="s">
        <v>25</v>
      </c>
      <c r="D2012" s="15">
        <v>92357</v>
      </c>
      <c r="E2012">
        <f>IFERROR(VLOOKUP(C2012,'LEAID Match'!$A$2:$B$214,2,FALSE),"")</f>
        <v>5002730</v>
      </c>
      <c r="F2012">
        <f t="shared" si="20"/>
        <v>8</v>
      </c>
    </row>
    <row r="2013" spans="1:6">
      <c r="A2013">
        <v>5002730</v>
      </c>
      <c r="B2013">
        <v>2019</v>
      </c>
      <c r="C2013" s="10" t="s">
        <v>25</v>
      </c>
      <c r="D2013" s="15">
        <v>98474</v>
      </c>
      <c r="E2013">
        <f>IFERROR(VLOOKUP(C2013,'LEAID Match'!$A$2:$B$214,2,FALSE),"")</f>
        <v>5002730</v>
      </c>
      <c r="F2013">
        <f t="shared" si="20"/>
        <v>8</v>
      </c>
    </row>
    <row r="2014" spans="1:6">
      <c r="A2014">
        <v>5002730</v>
      </c>
      <c r="B2014">
        <v>2020</v>
      </c>
      <c r="C2014" s="10" t="s">
        <v>25</v>
      </c>
      <c r="D2014" s="15">
        <v>0</v>
      </c>
      <c r="E2014">
        <f>IFERROR(VLOOKUP(C2014,'LEAID Match'!$A$2:$B$214,2,FALSE),"")</f>
        <v>5002730</v>
      </c>
      <c r="F2014">
        <f t="shared" si="20"/>
        <v>8</v>
      </c>
    </row>
    <row r="2015" spans="1:6">
      <c r="A2015">
        <v>5002730</v>
      </c>
      <c r="B2015">
        <v>2021</v>
      </c>
      <c r="C2015" s="10" t="s">
        <v>25</v>
      </c>
      <c r="D2015" s="15">
        <v>0</v>
      </c>
      <c r="E2015">
        <f>IFERROR(VLOOKUP(C2015,'LEAID Match'!$A$2:$B$214,2,FALSE),"")</f>
        <v>5002730</v>
      </c>
      <c r="F2015">
        <f t="shared" si="20"/>
        <v>8</v>
      </c>
    </row>
    <row r="2016" spans="1:6">
      <c r="A2016">
        <v>5002730</v>
      </c>
      <c r="B2016">
        <v>2022</v>
      </c>
      <c r="C2016" s="10" t="s">
        <v>25</v>
      </c>
      <c r="D2016" s="15">
        <v>0</v>
      </c>
      <c r="E2016">
        <f>IFERROR(VLOOKUP(C2016,'LEAID Match'!$A$2:$B$214,2,FALSE),"")</f>
        <v>5002730</v>
      </c>
      <c r="F2016">
        <f t="shared" si="20"/>
        <v>8</v>
      </c>
    </row>
    <row r="2017" spans="1:6">
      <c r="A2017">
        <v>5002640</v>
      </c>
      <c r="B2017">
        <v>2015</v>
      </c>
      <c r="C2017" s="10" t="s">
        <v>23</v>
      </c>
      <c r="D2017" s="15">
        <v>249462.58</v>
      </c>
      <c r="E2017">
        <f>IFERROR(VLOOKUP(C2017,'LEAID Match'!$A$2:$B$214,2,FALSE),"")</f>
        <v>5002640</v>
      </c>
      <c r="F2017">
        <f t="shared" si="20"/>
        <v>8</v>
      </c>
    </row>
    <row r="2018" spans="1:6">
      <c r="A2018">
        <v>5002640</v>
      </c>
      <c r="B2018">
        <v>2016</v>
      </c>
      <c r="C2018" s="10" t="s">
        <v>23</v>
      </c>
      <c r="D2018" s="15">
        <v>193216.03</v>
      </c>
      <c r="E2018">
        <f>IFERROR(VLOOKUP(C2018,'LEAID Match'!$A$2:$B$214,2,FALSE),"")</f>
        <v>5002640</v>
      </c>
      <c r="F2018">
        <f t="shared" si="20"/>
        <v>8</v>
      </c>
    </row>
    <row r="2019" spans="1:6">
      <c r="A2019">
        <v>5002640</v>
      </c>
      <c r="B2019">
        <v>2017</v>
      </c>
      <c r="C2019" s="10" t="s">
        <v>23</v>
      </c>
      <c r="D2019" s="15">
        <v>203367</v>
      </c>
      <c r="E2019">
        <f>IFERROR(VLOOKUP(C2019,'LEAID Match'!$A$2:$B$214,2,FALSE),"")</f>
        <v>5002640</v>
      </c>
      <c r="F2019">
        <f t="shared" si="20"/>
        <v>8</v>
      </c>
    </row>
    <row r="2020" spans="1:6">
      <c r="A2020">
        <v>5002640</v>
      </c>
      <c r="B2020">
        <v>2018</v>
      </c>
      <c r="C2020" s="10" t="s">
        <v>23</v>
      </c>
      <c r="D2020" s="15">
        <v>246441</v>
      </c>
      <c r="E2020">
        <f>IFERROR(VLOOKUP(C2020,'LEAID Match'!$A$2:$B$214,2,FALSE),"")</f>
        <v>5002640</v>
      </c>
      <c r="F2020">
        <f t="shared" si="20"/>
        <v>8</v>
      </c>
    </row>
    <row r="2021" spans="1:6">
      <c r="A2021">
        <v>5002640</v>
      </c>
      <c r="B2021">
        <v>2019</v>
      </c>
      <c r="C2021" s="10" t="s">
        <v>23</v>
      </c>
      <c r="D2021" s="15">
        <v>0</v>
      </c>
      <c r="E2021">
        <f>IFERROR(VLOOKUP(C2021,'LEAID Match'!$A$2:$B$214,2,FALSE),"")</f>
        <v>5002640</v>
      </c>
      <c r="F2021">
        <f t="shared" si="20"/>
        <v>8</v>
      </c>
    </row>
    <row r="2022" spans="1:6">
      <c r="A2022">
        <v>5002640</v>
      </c>
      <c r="B2022">
        <v>2020</v>
      </c>
      <c r="C2022" s="10" t="s">
        <v>23</v>
      </c>
      <c r="D2022" s="15">
        <v>0</v>
      </c>
      <c r="E2022">
        <f>IFERROR(VLOOKUP(C2022,'LEAID Match'!$A$2:$B$214,2,FALSE),"")</f>
        <v>5002640</v>
      </c>
      <c r="F2022">
        <f t="shared" si="20"/>
        <v>8</v>
      </c>
    </row>
    <row r="2023" spans="1:6">
      <c r="A2023">
        <v>5002640</v>
      </c>
      <c r="B2023">
        <v>2021</v>
      </c>
      <c r="C2023" s="10" t="s">
        <v>23</v>
      </c>
      <c r="D2023" s="15">
        <v>0</v>
      </c>
      <c r="E2023">
        <f>IFERROR(VLOOKUP(C2023,'LEAID Match'!$A$2:$B$214,2,FALSE),"")</f>
        <v>5002640</v>
      </c>
      <c r="F2023">
        <f t="shared" si="20"/>
        <v>8</v>
      </c>
    </row>
    <row r="2024" spans="1:6">
      <c r="A2024">
        <v>5002640</v>
      </c>
      <c r="B2024">
        <v>2022</v>
      </c>
      <c r="C2024" s="10" t="s">
        <v>23</v>
      </c>
      <c r="D2024" s="15">
        <v>0</v>
      </c>
      <c r="E2024">
        <f>IFERROR(VLOOKUP(C2024,'LEAID Match'!$A$2:$B$214,2,FALSE),"")</f>
        <v>5002640</v>
      </c>
      <c r="F2024">
        <f t="shared" si="20"/>
        <v>8</v>
      </c>
    </row>
    <row r="2025" spans="1:6">
      <c r="A2025">
        <v>5002610</v>
      </c>
      <c r="B2025">
        <v>2015</v>
      </c>
      <c r="C2025" s="10" t="s">
        <v>22</v>
      </c>
      <c r="D2025" s="15">
        <v>100961.7</v>
      </c>
      <c r="E2025">
        <f>IFERROR(VLOOKUP(C2025,'LEAID Match'!$A$2:$B$214,2,FALSE),"")</f>
        <v>5002610</v>
      </c>
      <c r="F2025">
        <f t="shared" si="20"/>
        <v>8</v>
      </c>
    </row>
    <row r="2026" spans="1:6">
      <c r="A2026">
        <v>5002610</v>
      </c>
      <c r="B2026">
        <v>2016</v>
      </c>
      <c r="C2026" s="10" t="s">
        <v>22</v>
      </c>
      <c r="D2026" s="15">
        <v>85807.07</v>
      </c>
      <c r="E2026">
        <f>IFERROR(VLOOKUP(C2026,'LEAID Match'!$A$2:$B$214,2,FALSE),"")</f>
        <v>5002610</v>
      </c>
      <c r="F2026">
        <f t="shared" si="20"/>
        <v>8</v>
      </c>
    </row>
    <row r="2027" spans="1:6">
      <c r="A2027">
        <v>5002610</v>
      </c>
      <c r="B2027">
        <v>2017</v>
      </c>
      <c r="C2027" s="10" t="s">
        <v>22</v>
      </c>
      <c r="D2027" s="15">
        <v>75565</v>
      </c>
      <c r="E2027">
        <f>IFERROR(VLOOKUP(C2027,'LEAID Match'!$A$2:$B$214,2,FALSE),"")</f>
        <v>5002610</v>
      </c>
      <c r="F2027">
        <f t="shared" si="20"/>
        <v>8</v>
      </c>
    </row>
    <row r="2028" spans="1:6">
      <c r="A2028">
        <v>5002610</v>
      </c>
      <c r="B2028">
        <v>2018</v>
      </c>
      <c r="C2028" s="10" t="s">
        <v>22</v>
      </c>
      <c r="D2028" s="15">
        <v>110270</v>
      </c>
      <c r="E2028">
        <f>IFERROR(VLOOKUP(C2028,'LEAID Match'!$A$2:$B$214,2,FALSE),"")</f>
        <v>5002610</v>
      </c>
      <c r="F2028">
        <f t="shared" si="20"/>
        <v>8</v>
      </c>
    </row>
    <row r="2029" spans="1:6">
      <c r="A2029">
        <v>5002610</v>
      </c>
      <c r="B2029">
        <v>2019</v>
      </c>
      <c r="C2029" s="10" t="s">
        <v>22</v>
      </c>
      <c r="D2029" s="15">
        <v>106304</v>
      </c>
      <c r="E2029">
        <f>IFERROR(VLOOKUP(C2029,'LEAID Match'!$A$2:$B$214,2,FALSE),"")</f>
        <v>5002610</v>
      </c>
      <c r="F2029">
        <f t="shared" si="20"/>
        <v>8</v>
      </c>
    </row>
    <row r="2030" spans="1:6">
      <c r="A2030">
        <v>5002610</v>
      </c>
      <c r="B2030">
        <v>2020</v>
      </c>
      <c r="C2030" s="10" t="s">
        <v>22</v>
      </c>
      <c r="D2030" s="15">
        <v>120399</v>
      </c>
      <c r="E2030">
        <f>IFERROR(VLOOKUP(C2030,'LEAID Match'!$A$2:$B$214,2,FALSE),"")</f>
        <v>5002610</v>
      </c>
      <c r="F2030">
        <f t="shared" si="20"/>
        <v>8</v>
      </c>
    </row>
    <row r="2031" spans="1:6">
      <c r="A2031">
        <v>5002610</v>
      </c>
      <c r="B2031">
        <v>2021</v>
      </c>
      <c r="C2031" s="10" t="s">
        <v>22</v>
      </c>
      <c r="D2031" s="15">
        <v>136233</v>
      </c>
      <c r="E2031">
        <f>IFERROR(VLOOKUP(C2031,'LEAID Match'!$A$2:$B$214,2,FALSE),"")</f>
        <v>5002610</v>
      </c>
      <c r="F2031">
        <f t="shared" si="20"/>
        <v>8</v>
      </c>
    </row>
    <row r="2032" spans="1:6">
      <c r="A2032">
        <v>5002610</v>
      </c>
      <c r="B2032">
        <v>2022</v>
      </c>
      <c r="C2032" s="10" t="s">
        <v>22</v>
      </c>
      <c r="D2032" s="15">
        <v>350842</v>
      </c>
      <c r="E2032">
        <f>IFERROR(VLOOKUP(C2032,'LEAID Match'!$A$2:$B$214,2,FALSE),"")</f>
        <v>5002610</v>
      </c>
      <c r="F2032">
        <f t="shared" si="20"/>
        <v>8</v>
      </c>
    </row>
    <row r="2033" spans="1:6">
      <c r="A2033">
        <v>5002520</v>
      </c>
      <c r="B2033">
        <v>2015</v>
      </c>
      <c r="C2033" s="10" t="s">
        <v>219</v>
      </c>
      <c r="D2033" s="15">
        <v>864075.3</v>
      </c>
      <c r="E2033">
        <f>IFERROR(VLOOKUP(C2033,'LEAID Match'!$A$2:$B$214,2,FALSE),"")</f>
        <v>5002520</v>
      </c>
      <c r="F2033">
        <f t="shared" si="20"/>
        <v>8</v>
      </c>
    </row>
    <row r="2034" spans="1:6">
      <c r="A2034">
        <v>5002520</v>
      </c>
      <c r="B2034">
        <v>2016</v>
      </c>
      <c r="C2034" s="10" t="s">
        <v>219</v>
      </c>
      <c r="D2034" s="15">
        <v>817660.58</v>
      </c>
      <c r="E2034">
        <f>IFERROR(VLOOKUP(C2034,'LEAID Match'!$A$2:$B$214,2,FALSE),"")</f>
        <v>5002520</v>
      </c>
      <c r="F2034">
        <f t="shared" si="20"/>
        <v>8</v>
      </c>
    </row>
    <row r="2035" spans="1:6">
      <c r="A2035">
        <v>5002520</v>
      </c>
      <c r="B2035">
        <v>2017</v>
      </c>
      <c r="C2035" s="10" t="s">
        <v>219</v>
      </c>
      <c r="D2035" s="15">
        <v>853460</v>
      </c>
      <c r="E2035">
        <f>IFERROR(VLOOKUP(C2035,'LEAID Match'!$A$2:$B$214,2,FALSE),"")</f>
        <v>5002520</v>
      </c>
      <c r="F2035">
        <f t="shared" si="20"/>
        <v>8</v>
      </c>
    </row>
    <row r="2036" spans="1:6">
      <c r="A2036">
        <v>5002520</v>
      </c>
      <c r="B2036">
        <v>2018</v>
      </c>
      <c r="C2036" s="10" t="s">
        <v>219</v>
      </c>
      <c r="D2036" s="15">
        <v>1208716</v>
      </c>
      <c r="E2036">
        <f>IFERROR(VLOOKUP(C2036,'LEAID Match'!$A$2:$B$214,2,FALSE),"")</f>
        <v>5002520</v>
      </c>
      <c r="F2036">
        <f t="shared" si="20"/>
        <v>8</v>
      </c>
    </row>
    <row r="2037" spans="1:6">
      <c r="A2037">
        <v>5002520</v>
      </c>
      <c r="B2037">
        <v>2019</v>
      </c>
      <c r="C2037" s="10" t="s">
        <v>219</v>
      </c>
      <c r="D2037" s="15">
        <v>1253558</v>
      </c>
      <c r="E2037">
        <f>IFERROR(VLOOKUP(C2037,'LEAID Match'!$A$2:$B$214,2,FALSE),"")</f>
        <v>5002520</v>
      </c>
      <c r="F2037">
        <f t="shared" si="20"/>
        <v>8</v>
      </c>
    </row>
    <row r="2038" spans="1:6">
      <c r="A2038">
        <v>5002520</v>
      </c>
      <c r="B2038">
        <v>2020</v>
      </c>
      <c r="C2038" s="10" t="s">
        <v>219</v>
      </c>
      <c r="D2038" s="15">
        <v>0</v>
      </c>
      <c r="E2038">
        <f>IFERROR(VLOOKUP(C2038,'LEAID Match'!$A$2:$B$214,2,FALSE),"")</f>
        <v>5002520</v>
      </c>
      <c r="F2038">
        <f t="shared" si="20"/>
        <v>8</v>
      </c>
    </row>
    <row r="2039" spans="1:6">
      <c r="A2039">
        <v>5002520</v>
      </c>
      <c r="B2039">
        <v>2021</v>
      </c>
      <c r="C2039" s="10" t="s">
        <v>219</v>
      </c>
      <c r="D2039" s="15">
        <v>0</v>
      </c>
      <c r="E2039">
        <f>IFERROR(VLOOKUP(C2039,'LEAID Match'!$A$2:$B$214,2,FALSE),"")</f>
        <v>5002520</v>
      </c>
      <c r="F2039">
        <f t="shared" si="20"/>
        <v>8</v>
      </c>
    </row>
    <row r="2040" spans="1:6">
      <c r="A2040">
        <v>5002520</v>
      </c>
      <c r="B2040">
        <v>2022</v>
      </c>
      <c r="C2040" s="10" t="s">
        <v>219</v>
      </c>
      <c r="D2040" s="15">
        <v>0</v>
      </c>
      <c r="E2040">
        <f>IFERROR(VLOOKUP(C2040,'LEAID Match'!$A$2:$B$214,2,FALSE),"")</f>
        <v>5002520</v>
      </c>
      <c r="F2040">
        <f t="shared" si="20"/>
        <v>8</v>
      </c>
    </row>
    <row r="2041" spans="1:6">
      <c r="A2041">
        <v>5002490</v>
      </c>
      <c r="B2041">
        <v>2015</v>
      </c>
      <c r="C2041" s="10" t="s">
        <v>19</v>
      </c>
      <c r="D2041" s="15">
        <v>532210.14</v>
      </c>
      <c r="E2041">
        <f>IFERROR(VLOOKUP(C2041,'LEAID Match'!$A$2:$B$214,2,FALSE),"")</f>
        <v>5002490</v>
      </c>
      <c r="F2041">
        <f t="shared" si="20"/>
        <v>8</v>
      </c>
    </row>
    <row r="2042" spans="1:6">
      <c r="A2042">
        <v>5002490</v>
      </c>
      <c r="B2042">
        <v>2016</v>
      </c>
      <c r="C2042" s="10" t="s">
        <v>19</v>
      </c>
      <c r="D2042" s="15">
        <v>515798.77</v>
      </c>
      <c r="E2042">
        <f>IFERROR(VLOOKUP(C2042,'LEAID Match'!$A$2:$B$214,2,FALSE),"")</f>
        <v>5002490</v>
      </c>
      <c r="F2042">
        <f t="shared" si="20"/>
        <v>8</v>
      </c>
    </row>
    <row r="2043" spans="1:6">
      <c r="A2043">
        <v>5002490</v>
      </c>
      <c r="B2043">
        <v>2017</v>
      </c>
      <c r="C2043" s="10" t="s">
        <v>19</v>
      </c>
      <c r="D2043" s="15">
        <v>559102</v>
      </c>
      <c r="E2043">
        <f>IFERROR(VLOOKUP(C2043,'LEAID Match'!$A$2:$B$214,2,FALSE),"")</f>
        <v>5002490</v>
      </c>
      <c r="F2043">
        <f t="shared" si="20"/>
        <v>8</v>
      </c>
    </row>
    <row r="2044" spans="1:6">
      <c r="A2044">
        <v>5002490</v>
      </c>
      <c r="B2044">
        <v>2018</v>
      </c>
      <c r="C2044" s="10" t="s">
        <v>19</v>
      </c>
      <c r="D2044" s="15">
        <v>785879</v>
      </c>
      <c r="E2044">
        <f>IFERROR(VLOOKUP(C2044,'LEAID Match'!$A$2:$B$214,2,FALSE),"")</f>
        <v>5002490</v>
      </c>
      <c r="F2044">
        <f t="shared" si="20"/>
        <v>8</v>
      </c>
    </row>
    <row r="2045" spans="1:6">
      <c r="A2045">
        <v>5002490</v>
      </c>
      <c r="B2045">
        <v>2019</v>
      </c>
      <c r="C2045" s="10" t="s">
        <v>19</v>
      </c>
      <c r="D2045" s="15">
        <v>813275</v>
      </c>
      <c r="E2045">
        <f>IFERROR(VLOOKUP(C2045,'LEAID Match'!$A$2:$B$214,2,FALSE),"")</f>
        <v>5002490</v>
      </c>
      <c r="F2045">
        <f t="shared" si="20"/>
        <v>8</v>
      </c>
    </row>
    <row r="2046" spans="1:6">
      <c r="A2046">
        <v>5002490</v>
      </c>
      <c r="B2046">
        <v>2020</v>
      </c>
      <c r="C2046" s="10" t="s">
        <v>19</v>
      </c>
      <c r="D2046" s="15">
        <v>0</v>
      </c>
      <c r="E2046">
        <f>IFERROR(VLOOKUP(C2046,'LEAID Match'!$A$2:$B$214,2,FALSE),"")</f>
        <v>5002490</v>
      </c>
      <c r="F2046">
        <f t="shared" si="20"/>
        <v>8</v>
      </c>
    </row>
    <row r="2047" spans="1:6">
      <c r="A2047">
        <v>5002490</v>
      </c>
      <c r="B2047">
        <v>2021</v>
      </c>
      <c r="C2047" s="10" t="s">
        <v>19</v>
      </c>
      <c r="D2047" s="15">
        <v>0</v>
      </c>
      <c r="E2047">
        <f>IFERROR(VLOOKUP(C2047,'LEAID Match'!$A$2:$B$214,2,FALSE),"")</f>
        <v>5002490</v>
      </c>
      <c r="F2047">
        <f t="shared" si="20"/>
        <v>8</v>
      </c>
    </row>
    <row r="2048" spans="1:6">
      <c r="A2048">
        <v>5002490</v>
      </c>
      <c r="B2048">
        <v>2022</v>
      </c>
      <c r="C2048" s="10" t="s">
        <v>19</v>
      </c>
      <c r="D2048" s="15">
        <v>0</v>
      </c>
      <c r="E2048">
        <f>IFERROR(VLOOKUP(C2048,'LEAID Match'!$A$2:$B$214,2,FALSE),"")</f>
        <v>5002490</v>
      </c>
      <c r="F2048">
        <f t="shared" si="20"/>
        <v>8</v>
      </c>
    </row>
    <row r="2049" spans="1:6">
      <c r="A2049">
        <v>5002340</v>
      </c>
      <c r="B2049">
        <v>2015</v>
      </c>
      <c r="C2049" s="10" t="s">
        <v>16</v>
      </c>
      <c r="D2049" s="15">
        <v>168759.34</v>
      </c>
      <c r="E2049">
        <f>IFERROR(VLOOKUP(C2049,'LEAID Match'!$A$2:$B$214,2,FALSE),"")</f>
        <v>5002340</v>
      </c>
      <c r="F2049">
        <f t="shared" si="20"/>
        <v>8</v>
      </c>
    </row>
    <row r="2050" spans="1:6">
      <c r="A2050">
        <v>5002340</v>
      </c>
      <c r="B2050">
        <v>2016</v>
      </c>
      <c r="C2050" s="10" t="s">
        <v>16</v>
      </c>
      <c r="D2050" s="15">
        <v>170791.96</v>
      </c>
      <c r="E2050">
        <f>IFERROR(VLOOKUP(C2050,'LEAID Match'!$A$2:$B$214,2,FALSE),"")</f>
        <v>5002340</v>
      </c>
      <c r="F2050">
        <f t="shared" ref="F2050:F2113" si="21">COUNTIF($A$705:$A$2272,A2050)</f>
        <v>8</v>
      </c>
    </row>
    <row r="2051" spans="1:6">
      <c r="A2051">
        <v>5002340</v>
      </c>
      <c r="B2051">
        <v>2017</v>
      </c>
      <c r="C2051" s="10" t="s">
        <v>16</v>
      </c>
      <c r="D2051" s="15">
        <v>156431</v>
      </c>
      <c r="E2051">
        <f>IFERROR(VLOOKUP(C2051,'LEAID Match'!$A$2:$B$214,2,FALSE),"")</f>
        <v>5002340</v>
      </c>
      <c r="F2051">
        <f t="shared" si="21"/>
        <v>8</v>
      </c>
    </row>
    <row r="2052" spans="1:6">
      <c r="A2052">
        <v>5002340</v>
      </c>
      <c r="B2052">
        <v>2018</v>
      </c>
      <c r="C2052" s="10" t="s">
        <v>16</v>
      </c>
      <c r="D2052" s="15">
        <v>233779</v>
      </c>
      <c r="E2052">
        <f>IFERROR(VLOOKUP(C2052,'LEAID Match'!$A$2:$B$214,2,FALSE),"")</f>
        <v>5002340</v>
      </c>
      <c r="F2052">
        <f t="shared" si="21"/>
        <v>8</v>
      </c>
    </row>
    <row r="2053" spans="1:6">
      <c r="A2053">
        <v>5002340</v>
      </c>
      <c r="B2053">
        <v>2019</v>
      </c>
      <c r="C2053" s="10" t="s">
        <v>16</v>
      </c>
      <c r="D2053" s="15">
        <v>229984</v>
      </c>
      <c r="E2053">
        <f>IFERROR(VLOOKUP(C2053,'LEAID Match'!$A$2:$B$214,2,FALSE),"")</f>
        <v>5002340</v>
      </c>
      <c r="F2053">
        <f t="shared" si="21"/>
        <v>8</v>
      </c>
    </row>
    <row r="2054" spans="1:6">
      <c r="A2054">
        <v>5002340</v>
      </c>
      <c r="B2054">
        <v>2020</v>
      </c>
      <c r="C2054" s="10" t="s">
        <v>16</v>
      </c>
      <c r="D2054" s="15">
        <v>0</v>
      </c>
      <c r="E2054">
        <f>IFERROR(VLOOKUP(C2054,'LEAID Match'!$A$2:$B$214,2,FALSE),"")</f>
        <v>5002340</v>
      </c>
      <c r="F2054">
        <f t="shared" si="21"/>
        <v>8</v>
      </c>
    </row>
    <row r="2055" spans="1:6">
      <c r="A2055">
        <v>5002340</v>
      </c>
      <c r="B2055">
        <v>2021</v>
      </c>
      <c r="C2055" s="10" t="s">
        <v>16</v>
      </c>
      <c r="D2055" s="15">
        <v>0</v>
      </c>
      <c r="E2055">
        <f>IFERROR(VLOOKUP(C2055,'LEAID Match'!$A$2:$B$214,2,FALSE),"")</f>
        <v>5002340</v>
      </c>
      <c r="F2055">
        <f t="shared" si="21"/>
        <v>8</v>
      </c>
    </row>
    <row r="2056" spans="1:6">
      <c r="A2056">
        <v>5002340</v>
      </c>
      <c r="B2056">
        <v>2022</v>
      </c>
      <c r="C2056" s="10" t="s">
        <v>16</v>
      </c>
      <c r="D2056" s="15">
        <v>0</v>
      </c>
      <c r="E2056">
        <f>IFERROR(VLOOKUP(C2056,'LEAID Match'!$A$2:$B$214,2,FALSE),"")</f>
        <v>5002340</v>
      </c>
      <c r="F2056">
        <f t="shared" si="21"/>
        <v>8</v>
      </c>
    </row>
    <row r="2057" spans="1:6">
      <c r="A2057">
        <v>5002250</v>
      </c>
      <c r="B2057">
        <v>2015</v>
      </c>
      <c r="C2057" s="10" t="s">
        <v>14</v>
      </c>
      <c r="D2057" s="15">
        <v>192105.89</v>
      </c>
      <c r="E2057">
        <f>IFERROR(VLOOKUP(C2057,'LEAID Match'!$A$2:$B$214,2,FALSE),"")</f>
        <v>5002250</v>
      </c>
      <c r="F2057">
        <f t="shared" si="21"/>
        <v>8</v>
      </c>
    </row>
    <row r="2058" spans="1:6">
      <c r="A2058">
        <v>5002250</v>
      </c>
      <c r="B2058">
        <v>2016</v>
      </c>
      <c r="C2058" s="10" t="s">
        <v>14</v>
      </c>
      <c r="D2058" s="15">
        <v>171561.4</v>
      </c>
      <c r="E2058">
        <f>IFERROR(VLOOKUP(C2058,'LEAID Match'!$A$2:$B$214,2,FALSE),"")</f>
        <v>5002250</v>
      </c>
      <c r="F2058">
        <f t="shared" si="21"/>
        <v>8</v>
      </c>
    </row>
    <row r="2059" spans="1:6">
      <c r="A2059">
        <v>5002250</v>
      </c>
      <c r="B2059">
        <v>2017</v>
      </c>
      <c r="C2059" s="10" t="s">
        <v>14</v>
      </c>
      <c r="D2059" s="15">
        <v>217296</v>
      </c>
      <c r="E2059">
        <f>IFERROR(VLOOKUP(C2059,'LEAID Match'!$A$2:$B$214,2,FALSE),"")</f>
        <v>5002250</v>
      </c>
      <c r="F2059">
        <f t="shared" si="21"/>
        <v>8</v>
      </c>
    </row>
    <row r="2060" spans="1:6">
      <c r="A2060">
        <v>5002250</v>
      </c>
      <c r="B2060">
        <v>2018</v>
      </c>
      <c r="C2060" s="10" t="s">
        <v>14</v>
      </c>
      <c r="D2060" s="15">
        <v>306673</v>
      </c>
      <c r="E2060">
        <f>IFERROR(VLOOKUP(C2060,'LEAID Match'!$A$2:$B$214,2,FALSE),"")</f>
        <v>5002250</v>
      </c>
      <c r="F2060">
        <f t="shared" si="21"/>
        <v>8</v>
      </c>
    </row>
    <row r="2061" spans="1:6">
      <c r="A2061">
        <v>5002250</v>
      </c>
      <c r="B2061">
        <v>2019</v>
      </c>
      <c r="C2061" s="10" t="s">
        <v>14</v>
      </c>
      <c r="D2061" s="15">
        <v>0</v>
      </c>
      <c r="E2061">
        <f>IFERROR(VLOOKUP(C2061,'LEAID Match'!$A$2:$B$214,2,FALSE),"")</f>
        <v>5002250</v>
      </c>
      <c r="F2061">
        <f t="shared" si="21"/>
        <v>8</v>
      </c>
    </row>
    <row r="2062" spans="1:6">
      <c r="A2062">
        <v>5002250</v>
      </c>
      <c r="B2062">
        <v>2020</v>
      </c>
      <c r="C2062" s="10" t="s">
        <v>14</v>
      </c>
      <c r="D2062" s="15">
        <v>0</v>
      </c>
      <c r="E2062">
        <f>IFERROR(VLOOKUP(C2062,'LEAID Match'!$A$2:$B$214,2,FALSE),"")</f>
        <v>5002250</v>
      </c>
      <c r="F2062">
        <f t="shared" si="21"/>
        <v>8</v>
      </c>
    </row>
    <row r="2063" spans="1:6">
      <c r="A2063">
        <v>5002250</v>
      </c>
      <c r="B2063">
        <v>2021</v>
      </c>
      <c r="C2063" s="10" t="s">
        <v>14</v>
      </c>
      <c r="D2063" s="15">
        <v>0</v>
      </c>
      <c r="E2063">
        <f>IFERROR(VLOOKUP(C2063,'LEAID Match'!$A$2:$B$214,2,FALSE),"")</f>
        <v>5002250</v>
      </c>
      <c r="F2063">
        <f t="shared" si="21"/>
        <v>8</v>
      </c>
    </row>
    <row r="2064" spans="1:6">
      <c r="A2064">
        <v>5002250</v>
      </c>
      <c r="B2064">
        <v>2022</v>
      </c>
      <c r="C2064" s="10" t="s">
        <v>14</v>
      </c>
      <c r="D2064" s="15">
        <v>0</v>
      </c>
      <c r="E2064">
        <f>IFERROR(VLOOKUP(C2064,'LEAID Match'!$A$2:$B$214,2,FALSE),"")</f>
        <v>5002250</v>
      </c>
      <c r="F2064">
        <f t="shared" si="21"/>
        <v>8</v>
      </c>
    </row>
    <row r="2065" spans="1:6">
      <c r="A2065">
        <v>5002220</v>
      </c>
      <c r="B2065">
        <v>2015</v>
      </c>
      <c r="C2065" s="10" t="s">
        <v>13</v>
      </c>
      <c r="D2065" s="15">
        <v>137260.91</v>
      </c>
      <c r="E2065">
        <f>IFERROR(VLOOKUP(C2065,'LEAID Match'!$A$2:$B$214,2,FALSE),"")</f>
        <v>5002220</v>
      </c>
      <c r="F2065">
        <f t="shared" si="21"/>
        <v>8</v>
      </c>
    </row>
    <row r="2066" spans="1:6">
      <c r="A2066">
        <v>5002220</v>
      </c>
      <c r="B2066">
        <v>2016</v>
      </c>
      <c r="C2066" s="10" t="s">
        <v>13</v>
      </c>
      <c r="D2066" s="15">
        <v>129838.39</v>
      </c>
      <c r="E2066">
        <f>IFERROR(VLOOKUP(C2066,'LEAID Match'!$A$2:$B$214,2,FALSE),"")</f>
        <v>5002220</v>
      </c>
      <c r="F2066">
        <f t="shared" si="21"/>
        <v>8</v>
      </c>
    </row>
    <row r="2067" spans="1:6">
      <c r="A2067">
        <v>5002220</v>
      </c>
      <c r="B2067">
        <v>2017</v>
      </c>
      <c r="C2067" s="10" t="s">
        <v>13</v>
      </c>
      <c r="D2067" s="15">
        <v>149457</v>
      </c>
      <c r="E2067">
        <f>IFERROR(VLOOKUP(C2067,'LEAID Match'!$A$2:$B$214,2,FALSE),"")</f>
        <v>5002220</v>
      </c>
      <c r="F2067">
        <f t="shared" si="21"/>
        <v>8</v>
      </c>
    </row>
    <row r="2068" spans="1:6">
      <c r="A2068">
        <v>5002220</v>
      </c>
      <c r="B2068">
        <v>2018</v>
      </c>
      <c r="C2068" s="10" t="s">
        <v>13</v>
      </c>
      <c r="D2068" s="15">
        <v>206757</v>
      </c>
      <c r="E2068">
        <f>IFERROR(VLOOKUP(C2068,'LEAID Match'!$A$2:$B$214,2,FALSE),"")</f>
        <v>5002220</v>
      </c>
      <c r="F2068">
        <f t="shared" si="21"/>
        <v>8</v>
      </c>
    </row>
    <row r="2069" spans="1:6">
      <c r="A2069">
        <v>5002220</v>
      </c>
      <c r="B2069">
        <v>2019</v>
      </c>
      <c r="C2069" s="10" t="s">
        <v>13</v>
      </c>
      <c r="D2069" s="15">
        <v>214462</v>
      </c>
      <c r="E2069">
        <f>IFERROR(VLOOKUP(C2069,'LEAID Match'!$A$2:$B$214,2,FALSE),"")</f>
        <v>5002220</v>
      </c>
      <c r="F2069">
        <f t="shared" si="21"/>
        <v>8</v>
      </c>
    </row>
    <row r="2070" spans="1:6">
      <c r="A2070">
        <v>5002220</v>
      </c>
      <c r="B2070">
        <v>2020</v>
      </c>
      <c r="C2070" s="10" t="s">
        <v>13</v>
      </c>
      <c r="D2070" s="15">
        <v>0</v>
      </c>
      <c r="E2070">
        <f>IFERROR(VLOOKUP(C2070,'LEAID Match'!$A$2:$B$214,2,FALSE),"")</f>
        <v>5002220</v>
      </c>
      <c r="F2070">
        <f t="shared" si="21"/>
        <v>8</v>
      </c>
    </row>
    <row r="2071" spans="1:6">
      <c r="A2071">
        <v>5002220</v>
      </c>
      <c r="B2071">
        <v>2021</v>
      </c>
      <c r="C2071" s="10" t="s">
        <v>13</v>
      </c>
      <c r="D2071" s="15">
        <v>0</v>
      </c>
      <c r="E2071">
        <f>IFERROR(VLOOKUP(C2071,'LEAID Match'!$A$2:$B$214,2,FALSE),"")</f>
        <v>5002220</v>
      </c>
      <c r="F2071">
        <f t="shared" si="21"/>
        <v>8</v>
      </c>
    </row>
    <row r="2072" spans="1:6">
      <c r="A2072">
        <v>5002220</v>
      </c>
      <c r="B2072">
        <v>2022</v>
      </c>
      <c r="C2072" s="10" t="s">
        <v>13</v>
      </c>
      <c r="D2072" s="15">
        <v>0</v>
      </c>
      <c r="E2072">
        <f>IFERROR(VLOOKUP(C2072,'LEAID Match'!$A$2:$B$214,2,FALSE),"")</f>
        <v>5002220</v>
      </c>
      <c r="F2072">
        <f t="shared" si="21"/>
        <v>8</v>
      </c>
    </row>
    <row r="2073" spans="1:6">
      <c r="A2073">
        <v>5002190</v>
      </c>
      <c r="B2073">
        <v>2015</v>
      </c>
      <c r="C2073" s="10" t="s">
        <v>12</v>
      </c>
      <c r="D2073" s="15">
        <v>90511.98</v>
      </c>
      <c r="E2073">
        <f>IFERROR(VLOOKUP(C2073,'LEAID Match'!$A$2:$B$214,2,FALSE),"")</f>
        <v>5002190</v>
      </c>
      <c r="F2073">
        <f t="shared" si="21"/>
        <v>8</v>
      </c>
    </row>
    <row r="2074" spans="1:6">
      <c r="A2074">
        <v>5002190</v>
      </c>
      <c r="B2074">
        <v>2016</v>
      </c>
      <c r="C2074" s="10" t="s">
        <v>12</v>
      </c>
      <c r="D2074" s="15">
        <v>91727.73</v>
      </c>
      <c r="E2074">
        <f>IFERROR(VLOOKUP(C2074,'LEAID Match'!$A$2:$B$214,2,FALSE),"")</f>
        <v>5002190</v>
      </c>
      <c r="F2074">
        <f t="shared" si="21"/>
        <v>8</v>
      </c>
    </row>
    <row r="2075" spans="1:6">
      <c r="A2075">
        <v>5002190</v>
      </c>
      <c r="B2075">
        <v>2017</v>
      </c>
      <c r="C2075" s="10" t="s">
        <v>12</v>
      </c>
      <c r="D2075" s="15">
        <v>99864</v>
      </c>
      <c r="E2075">
        <f>IFERROR(VLOOKUP(C2075,'LEAID Match'!$A$2:$B$214,2,FALSE),"")</f>
        <v>5002190</v>
      </c>
      <c r="F2075">
        <f t="shared" si="21"/>
        <v>8</v>
      </c>
    </row>
    <row r="2076" spans="1:6">
      <c r="A2076">
        <v>5002190</v>
      </c>
      <c r="B2076">
        <v>2018</v>
      </c>
      <c r="C2076" s="10" t="s">
        <v>12</v>
      </c>
      <c r="D2076" s="15">
        <v>145655</v>
      </c>
      <c r="E2076">
        <f>IFERROR(VLOOKUP(C2076,'LEAID Match'!$A$2:$B$214,2,FALSE),"")</f>
        <v>5002190</v>
      </c>
      <c r="F2076">
        <f t="shared" si="21"/>
        <v>8</v>
      </c>
    </row>
    <row r="2077" spans="1:6">
      <c r="A2077">
        <v>5002190</v>
      </c>
      <c r="B2077">
        <v>2019</v>
      </c>
      <c r="C2077" s="10" t="s">
        <v>12</v>
      </c>
      <c r="D2077" s="15">
        <v>156192</v>
      </c>
      <c r="E2077">
        <f>IFERROR(VLOOKUP(C2077,'LEAID Match'!$A$2:$B$214,2,FALSE),"")</f>
        <v>5002190</v>
      </c>
      <c r="F2077">
        <f t="shared" si="21"/>
        <v>8</v>
      </c>
    </row>
    <row r="2078" spans="1:6">
      <c r="A2078">
        <v>5002190</v>
      </c>
      <c r="B2078">
        <v>2020</v>
      </c>
      <c r="C2078" s="10" t="s">
        <v>12</v>
      </c>
      <c r="D2078" s="15">
        <v>0</v>
      </c>
      <c r="E2078">
        <f>IFERROR(VLOOKUP(C2078,'LEAID Match'!$A$2:$B$214,2,FALSE),"")</f>
        <v>5002190</v>
      </c>
      <c r="F2078">
        <f t="shared" si="21"/>
        <v>8</v>
      </c>
    </row>
    <row r="2079" spans="1:6">
      <c r="A2079">
        <v>5002190</v>
      </c>
      <c r="B2079">
        <v>2021</v>
      </c>
      <c r="C2079" s="10" t="s">
        <v>12</v>
      </c>
      <c r="D2079" s="15">
        <v>0</v>
      </c>
      <c r="E2079">
        <f>IFERROR(VLOOKUP(C2079,'LEAID Match'!$A$2:$B$214,2,FALSE),"")</f>
        <v>5002190</v>
      </c>
      <c r="F2079">
        <f t="shared" si="21"/>
        <v>8</v>
      </c>
    </row>
    <row r="2080" spans="1:6">
      <c r="A2080">
        <v>5002190</v>
      </c>
      <c r="B2080">
        <v>2022</v>
      </c>
      <c r="C2080" s="10" t="s">
        <v>12</v>
      </c>
      <c r="D2080" s="15">
        <v>0</v>
      </c>
      <c r="E2080">
        <f>IFERROR(VLOOKUP(C2080,'LEAID Match'!$A$2:$B$214,2,FALSE),"")</f>
        <v>5002190</v>
      </c>
      <c r="F2080">
        <f t="shared" si="21"/>
        <v>8</v>
      </c>
    </row>
    <row r="2081" spans="1:6">
      <c r="A2081">
        <v>5002160</v>
      </c>
      <c r="B2081">
        <v>2015</v>
      </c>
      <c r="C2081" s="10" t="s">
        <v>11</v>
      </c>
      <c r="D2081" s="15">
        <v>46477</v>
      </c>
      <c r="E2081">
        <f>IFERROR(VLOOKUP(C2081,'LEAID Match'!$A$2:$B$214,2,FALSE),"")</f>
        <v>5002160</v>
      </c>
      <c r="F2081">
        <f t="shared" si="21"/>
        <v>8</v>
      </c>
    </row>
    <row r="2082" spans="1:6">
      <c r="A2082">
        <v>5002160</v>
      </c>
      <c r="B2082">
        <v>2016</v>
      </c>
      <c r="C2082" s="10" t="s">
        <v>11</v>
      </c>
      <c r="D2082" s="15">
        <v>51069.95</v>
      </c>
      <c r="E2082">
        <f>IFERROR(VLOOKUP(C2082,'LEAID Match'!$A$2:$B$214,2,FALSE),"")</f>
        <v>5002160</v>
      </c>
      <c r="F2082">
        <f t="shared" si="21"/>
        <v>8</v>
      </c>
    </row>
    <row r="2083" spans="1:6">
      <c r="A2083">
        <v>5002160</v>
      </c>
      <c r="B2083">
        <v>2017</v>
      </c>
      <c r="C2083" s="10" t="s">
        <v>11</v>
      </c>
      <c r="D2083" s="15">
        <v>54716</v>
      </c>
      <c r="E2083">
        <f>IFERROR(VLOOKUP(C2083,'LEAID Match'!$A$2:$B$214,2,FALSE),"")</f>
        <v>5002160</v>
      </c>
      <c r="F2083">
        <f t="shared" si="21"/>
        <v>8</v>
      </c>
    </row>
    <row r="2084" spans="1:6">
      <c r="A2084">
        <v>5002160</v>
      </c>
      <c r="B2084">
        <v>2018</v>
      </c>
      <c r="C2084" s="10" t="s">
        <v>11</v>
      </c>
      <c r="D2084" s="15">
        <v>75996</v>
      </c>
      <c r="E2084">
        <f>IFERROR(VLOOKUP(C2084,'LEAID Match'!$A$2:$B$214,2,FALSE),"")</f>
        <v>5002160</v>
      </c>
      <c r="F2084">
        <f t="shared" si="21"/>
        <v>8</v>
      </c>
    </row>
    <row r="2085" spans="1:6">
      <c r="A2085">
        <v>5002160</v>
      </c>
      <c r="B2085">
        <v>2019</v>
      </c>
      <c r="C2085" s="10" t="s">
        <v>11</v>
      </c>
      <c r="D2085" s="15">
        <v>0</v>
      </c>
      <c r="E2085">
        <f>IFERROR(VLOOKUP(C2085,'LEAID Match'!$A$2:$B$214,2,FALSE),"")</f>
        <v>5002160</v>
      </c>
      <c r="F2085">
        <f t="shared" si="21"/>
        <v>8</v>
      </c>
    </row>
    <row r="2086" spans="1:6">
      <c r="A2086">
        <v>5002160</v>
      </c>
      <c r="B2086">
        <v>2020</v>
      </c>
      <c r="C2086" s="10" t="s">
        <v>11</v>
      </c>
      <c r="D2086" s="15">
        <v>0</v>
      </c>
      <c r="E2086">
        <f>IFERROR(VLOOKUP(C2086,'LEAID Match'!$A$2:$B$214,2,FALSE),"")</f>
        <v>5002160</v>
      </c>
      <c r="F2086">
        <f t="shared" si="21"/>
        <v>8</v>
      </c>
    </row>
    <row r="2087" spans="1:6">
      <c r="A2087">
        <v>5002160</v>
      </c>
      <c r="B2087">
        <v>2021</v>
      </c>
      <c r="C2087" s="10" t="s">
        <v>11</v>
      </c>
      <c r="D2087" s="15">
        <v>0</v>
      </c>
      <c r="E2087">
        <f>IFERROR(VLOOKUP(C2087,'LEAID Match'!$A$2:$B$214,2,FALSE),"")</f>
        <v>5002160</v>
      </c>
      <c r="F2087">
        <f t="shared" si="21"/>
        <v>8</v>
      </c>
    </row>
    <row r="2088" spans="1:6">
      <c r="A2088">
        <v>5002160</v>
      </c>
      <c r="B2088">
        <v>2022</v>
      </c>
      <c r="C2088" s="10" t="s">
        <v>11</v>
      </c>
      <c r="D2088" s="15">
        <v>0</v>
      </c>
      <c r="E2088">
        <f>IFERROR(VLOOKUP(C2088,'LEAID Match'!$A$2:$B$214,2,FALSE),"")</f>
        <v>5002160</v>
      </c>
      <c r="F2088">
        <f t="shared" si="21"/>
        <v>8</v>
      </c>
    </row>
    <row r="2089" spans="1:6">
      <c r="A2089">
        <v>5002130</v>
      </c>
      <c r="B2089">
        <v>2015</v>
      </c>
      <c r="C2089" s="10" t="s">
        <v>10</v>
      </c>
      <c r="D2089" s="15">
        <v>408793.46</v>
      </c>
      <c r="E2089">
        <f>IFERROR(VLOOKUP(C2089,'LEAID Match'!$A$2:$B$214,2,FALSE),"")</f>
        <v>5002130</v>
      </c>
      <c r="F2089">
        <f t="shared" si="21"/>
        <v>8</v>
      </c>
    </row>
    <row r="2090" spans="1:6">
      <c r="A2090">
        <v>5002130</v>
      </c>
      <c r="B2090">
        <v>2016</v>
      </c>
      <c r="C2090" s="10" t="s">
        <v>10</v>
      </c>
      <c r="D2090" s="15">
        <v>411318.66</v>
      </c>
      <c r="E2090">
        <f>IFERROR(VLOOKUP(C2090,'LEAID Match'!$A$2:$B$214,2,FALSE),"")</f>
        <v>5002130</v>
      </c>
      <c r="F2090">
        <f t="shared" si="21"/>
        <v>8</v>
      </c>
    </row>
    <row r="2091" spans="1:6">
      <c r="A2091">
        <v>5002130</v>
      </c>
      <c r="B2091">
        <v>2017</v>
      </c>
      <c r="C2091" s="10" t="s">
        <v>10</v>
      </c>
      <c r="D2091" s="15">
        <v>432367</v>
      </c>
      <c r="E2091">
        <f>IFERROR(VLOOKUP(C2091,'LEAID Match'!$A$2:$B$214,2,FALSE),"")</f>
        <v>5002130</v>
      </c>
      <c r="F2091">
        <f t="shared" si="21"/>
        <v>8</v>
      </c>
    </row>
    <row r="2092" spans="1:6">
      <c r="A2092">
        <v>5002130</v>
      </c>
      <c r="B2092">
        <v>2018</v>
      </c>
      <c r="C2092" s="10" t="s">
        <v>10</v>
      </c>
      <c r="D2092" s="15">
        <v>586140</v>
      </c>
      <c r="E2092">
        <f>IFERROR(VLOOKUP(C2092,'LEAID Match'!$A$2:$B$214,2,FALSE),"")</f>
        <v>5002130</v>
      </c>
      <c r="F2092">
        <f t="shared" si="21"/>
        <v>8</v>
      </c>
    </row>
    <row r="2093" spans="1:6">
      <c r="A2093">
        <v>5002130</v>
      </c>
      <c r="B2093">
        <v>2019</v>
      </c>
      <c r="C2093" s="10" t="s">
        <v>10</v>
      </c>
      <c r="D2093" s="15">
        <v>617379</v>
      </c>
      <c r="E2093">
        <f>IFERROR(VLOOKUP(C2093,'LEAID Match'!$A$2:$B$214,2,FALSE),"")</f>
        <v>5002130</v>
      </c>
      <c r="F2093">
        <f t="shared" si="21"/>
        <v>8</v>
      </c>
    </row>
    <row r="2094" spans="1:6">
      <c r="A2094">
        <v>5002130</v>
      </c>
      <c r="B2094">
        <v>2020</v>
      </c>
      <c r="C2094" s="10" t="s">
        <v>10</v>
      </c>
      <c r="D2094" s="15">
        <v>0</v>
      </c>
      <c r="E2094">
        <f>IFERROR(VLOOKUP(C2094,'LEAID Match'!$A$2:$B$214,2,FALSE),"")</f>
        <v>5002130</v>
      </c>
      <c r="F2094">
        <f t="shared" si="21"/>
        <v>8</v>
      </c>
    </row>
    <row r="2095" spans="1:6">
      <c r="A2095">
        <v>5002130</v>
      </c>
      <c r="B2095">
        <v>2021</v>
      </c>
      <c r="C2095" s="10" t="s">
        <v>10</v>
      </c>
      <c r="D2095" s="15">
        <v>0</v>
      </c>
      <c r="E2095">
        <f>IFERROR(VLOOKUP(C2095,'LEAID Match'!$A$2:$B$214,2,FALSE),"")</f>
        <v>5002130</v>
      </c>
      <c r="F2095">
        <f t="shared" si="21"/>
        <v>8</v>
      </c>
    </row>
    <row r="2096" spans="1:6">
      <c r="A2096">
        <v>5002130</v>
      </c>
      <c r="B2096">
        <v>2022</v>
      </c>
      <c r="C2096" s="10" t="s">
        <v>10</v>
      </c>
      <c r="D2096" s="15">
        <v>0</v>
      </c>
      <c r="E2096">
        <f>IFERROR(VLOOKUP(C2096,'LEAID Match'!$A$2:$B$214,2,FALSE),"")</f>
        <v>5002130</v>
      </c>
      <c r="F2096">
        <f t="shared" si="21"/>
        <v>8</v>
      </c>
    </row>
    <row r="2097" spans="1:6">
      <c r="A2097">
        <v>5002070</v>
      </c>
      <c r="B2097">
        <v>2015</v>
      </c>
      <c r="C2097" s="10" t="s">
        <v>9</v>
      </c>
      <c r="D2097" s="15">
        <v>110989.81</v>
      </c>
      <c r="E2097">
        <f>IFERROR(VLOOKUP(C2097,'LEAID Match'!$A$2:$B$214,2,FALSE),"")</f>
        <v>5002070</v>
      </c>
      <c r="F2097">
        <f t="shared" si="21"/>
        <v>8</v>
      </c>
    </row>
    <row r="2098" spans="1:6">
      <c r="A2098">
        <v>5002070</v>
      </c>
      <c r="B2098">
        <v>2016</v>
      </c>
      <c r="C2098" s="10" t="s">
        <v>9</v>
      </c>
      <c r="D2098" s="15">
        <v>100922.91</v>
      </c>
      <c r="E2098">
        <f>IFERROR(VLOOKUP(C2098,'LEAID Match'!$A$2:$B$214,2,FALSE),"")</f>
        <v>5002070</v>
      </c>
      <c r="F2098">
        <f t="shared" si="21"/>
        <v>8</v>
      </c>
    </row>
    <row r="2099" spans="1:6">
      <c r="A2099">
        <v>5002070</v>
      </c>
      <c r="B2099">
        <v>2017</v>
      </c>
      <c r="C2099" s="10" t="s">
        <v>9</v>
      </c>
      <c r="D2099" s="15">
        <v>109490</v>
      </c>
      <c r="E2099">
        <f>IFERROR(VLOOKUP(C2099,'LEAID Match'!$A$2:$B$214,2,FALSE),"")</f>
        <v>5002070</v>
      </c>
      <c r="F2099">
        <f t="shared" si="21"/>
        <v>8</v>
      </c>
    </row>
    <row r="2100" spans="1:6">
      <c r="A2100">
        <v>5002070</v>
      </c>
      <c r="B2100">
        <v>2018</v>
      </c>
      <c r="C2100" s="10" t="s">
        <v>9</v>
      </c>
      <c r="D2100" s="15">
        <v>116598</v>
      </c>
      <c r="E2100">
        <f>IFERROR(VLOOKUP(C2100,'LEAID Match'!$A$2:$B$214,2,FALSE),"")</f>
        <v>5002070</v>
      </c>
      <c r="F2100">
        <f t="shared" si="21"/>
        <v>8</v>
      </c>
    </row>
    <row r="2101" spans="1:6">
      <c r="A2101">
        <v>5002070</v>
      </c>
      <c r="B2101">
        <v>2019</v>
      </c>
      <c r="C2101" s="10" t="s">
        <v>9</v>
      </c>
      <c r="D2101" s="15">
        <v>116352</v>
      </c>
      <c r="E2101">
        <f>IFERROR(VLOOKUP(C2101,'LEAID Match'!$A$2:$B$214,2,FALSE),"")</f>
        <v>5002070</v>
      </c>
      <c r="F2101">
        <f t="shared" si="21"/>
        <v>8</v>
      </c>
    </row>
    <row r="2102" spans="1:6">
      <c r="A2102">
        <v>5002070</v>
      </c>
      <c r="B2102">
        <v>2020</v>
      </c>
      <c r="C2102" s="10" t="s">
        <v>9</v>
      </c>
      <c r="D2102" s="15">
        <v>0</v>
      </c>
      <c r="E2102">
        <f>IFERROR(VLOOKUP(C2102,'LEAID Match'!$A$2:$B$214,2,FALSE),"")</f>
        <v>5002070</v>
      </c>
      <c r="F2102">
        <f t="shared" si="21"/>
        <v>8</v>
      </c>
    </row>
    <row r="2103" spans="1:6">
      <c r="A2103">
        <v>5002070</v>
      </c>
      <c r="B2103">
        <v>2021</v>
      </c>
      <c r="C2103" s="10" t="s">
        <v>9</v>
      </c>
      <c r="D2103" s="15">
        <v>0</v>
      </c>
      <c r="E2103">
        <f>IFERROR(VLOOKUP(C2103,'LEAID Match'!$A$2:$B$214,2,FALSE),"")</f>
        <v>5002070</v>
      </c>
      <c r="F2103">
        <f t="shared" si="21"/>
        <v>8</v>
      </c>
    </row>
    <row r="2104" spans="1:6">
      <c r="A2104">
        <v>5002070</v>
      </c>
      <c r="B2104">
        <v>2022</v>
      </c>
      <c r="C2104" s="10" t="s">
        <v>9</v>
      </c>
      <c r="D2104" s="15">
        <v>0</v>
      </c>
      <c r="E2104">
        <f>IFERROR(VLOOKUP(C2104,'LEAID Match'!$A$2:$B$214,2,FALSE),"")</f>
        <v>5002070</v>
      </c>
      <c r="F2104">
        <f t="shared" si="21"/>
        <v>8</v>
      </c>
    </row>
    <row r="2105" spans="1:6">
      <c r="A2105">
        <v>5002040</v>
      </c>
      <c r="B2105">
        <v>2015</v>
      </c>
      <c r="C2105" s="10" t="s">
        <v>8</v>
      </c>
      <c r="D2105" s="15">
        <v>527849.27</v>
      </c>
      <c r="E2105">
        <f>IFERROR(VLOOKUP(C2105,'LEAID Match'!$A$2:$B$214,2,FALSE),"")</f>
        <v>5002040</v>
      </c>
      <c r="F2105">
        <f t="shared" si="21"/>
        <v>8</v>
      </c>
    </row>
    <row r="2106" spans="1:6">
      <c r="A2106">
        <v>5002040</v>
      </c>
      <c r="B2106">
        <v>2016</v>
      </c>
      <c r="C2106" s="10" t="s">
        <v>8</v>
      </c>
      <c r="D2106" s="15">
        <v>505038.22</v>
      </c>
      <c r="E2106">
        <f>IFERROR(VLOOKUP(C2106,'LEAID Match'!$A$2:$B$214,2,FALSE),"")</f>
        <v>5002040</v>
      </c>
      <c r="F2106">
        <f t="shared" si="21"/>
        <v>8</v>
      </c>
    </row>
    <row r="2107" spans="1:6">
      <c r="A2107">
        <v>5002040</v>
      </c>
      <c r="B2107">
        <v>2017</v>
      </c>
      <c r="C2107" s="10" t="s">
        <v>8</v>
      </c>
      <c r="D2107" s="15">
        <v>438105</v>
      </c>
      <c r="E2107">
        <f>IFERROR(VLOOKUP(C2107,'LEAID Match'!$A$2:$B$214,2,FALSE),"")</f>
        <v>5002040</v>
      </c>
      <c r="F2107">
        <f t="shared" si="21"/>
        <v>8</v>
      </c>
    </row>
    <row r="2108" spans="1:6">
      <c r="A2108">
        <v>5002040</v>
      </c>
      <c r="B2108">
        <v>2018</v>
      </c>
      <c r="C2108" s="10" t="s">
        <v>8</v>
      </c>
      <c r="D2108" s="15">
        <v>627920</v>
      </c>
      <c r="E2108">
        <f>IFERROR(VLOOKUP(C2108,'LEAID Match'!$A$2:$B$214,2,FALSE),"")</f>
        <v>5002040</v>
      </c>
      <c r="F2108">
        <f t="shared" si="21"/>
        <v>8</v>
      </c>
    </row>
    <row r="2109" spans="1:6">
      <c r="A2109">
        <v>5002040</v>
      </c>
      <c r="B2109">
        <v>2019</v>
      </c>
      <c r="C2109" s="10" t="s">
        <v>8</v>
      </c>
      <c r="D2109" s="15">
        <v>650702</v>
      </c>
      <c r="E2109">
        <f>IFERROR(VLOOKUP(C2109,'LEAID Match'!$A$2:$B$214,2,FALSE),"")</f>
        <v>5002040</v>
      </c>
      <c r="F2109">
        <f t="shared" si="21"/>
        <v>8</v>
      </c>
    </row>
    <row r="2110" spans="1:6">
      <c r="A2110">
        <v>5002040</v>
      </c>
      <c r="B2110">
        <v>2020</v>
      </c>
      <c r="C2110" s="10" t="s">
        <v>8</v>
      </c>
      <c r="D2110" s="15">
        <v>0</v>
      </c>
      <c r="E2110">
        <f>IFERROR(VLOOKUP(C2110,'LEAID Match'!$A$2:$B$214,2,FALSE),"")</f>
        <v>5002040</v>
      </c>
      <c r="F2110">
        <f t="shared" si="21"/>
        <v>8</v>
      </c>
    </row>
    <row r="2111" spans="1:6">
      <c r="A2111">
        <v>5002040</v>
      </c>
      <c r="B2111">
        <v>2021</v>
      </c>
      <c r="C2111" s="10" t="s">
        <v>8</v>
      </c>
      <c r="D2111" s="15">
        <v>0</v>
      </c>
      <c r="E2111">
        <f>IFERROR(VLOOKUP(C2111,'LEAID Match'!$A$2:$B$214,2,FALSE),"")</f>
        <v>5002040</v>
      </c>
      <c r="F2111">
        <f t="shared" si="21"/>
        <v>8</v>
      </c>
    </row>
    <row r="2112" spans="1:6">
      <c r="A2112">
        <v>5002040</v>
      </c>
      <c r="B2112">
        <v>2022</v>
      </c>
      <c r="C2112" s="10" t="s">
        <v>8</v>
      </c>
      <c r="D2112" s="15">
        <v>0</v>
      </c>
      <c r="E2112">
        <f>IFERROR(VLOOKUP(C2112,'LEAID Match'!$A$2:$B$214,2,FALSE),"")</f>
        <v>5002040</v>
      </c>
      <c r="F2112">
        <f t="shared" si="21"/>
        <v>8</v>
      </c>
    </row>
    <row r="2113" spans="1:6">
      <c r="A2113">
        <v>5002010</v>
      </c>
      <c r="B2113">
        <v>2015</v>
      </c>
      <c r="C2113" s="10" t="s">
        <v>7</v>
      </c>
      <c r="D2113" s="15">
        <v>668933.74</v>
      </c>
      <c r="E2113">
        <f>IFERROR(VLOOKUP(C2113,'LEAID Match'!$A$2:$B$214,2,FALSE),"")</f>
        <v>5002010</v>
      </c>
      <c r="F2113">
        <f t="shared" si="21"/>
        <v>8</v>
      </c>
    </row>
    <row r="2114" spans="1:6">
      <c r="A2114">
        <v>5002010</v>
      </c>
      <c r="B2114">
        <v>2016</v>
      </c>
      <c r="C2114" s="10" t="s">
        <v>7</v>
      </c>
      <c r="D2114" s="15">
        <v>568285.37</v>
      </c>
      <c r="E2114">
        <f>IFERROR(VLOOKUP(C2114,'LEAID Match'!$A$2:$B$214,2,FALSE),"")</f>
        <v>5002010</v>
      </c>
      <c r="F2114">
        <f t="shared" ref="F2114:F2177" si="22">COUNTIF($A$705:$A$2272,A2114)</f>
        <v>8</v>
      </c>
    </row>
    <row r="2115" spans="1:6">
      <c r="A2115">
        <v>5002010</v>
      </c>
      <c r="B2115">
        <v>2017</v>
      </c>
      <c r="C2115" s="10" t="s">
        <v>7</v>
      </c>
      <c r="D2115" s="15">
        <v>515012</v>
      </c>
      <c r="E2115">
        <f>IFERROR(VLOOKUP(C2115,'LEAID Match'!$A$2:$B$214,2,FALSE),"")</f>
        <v>5002010</v>
      </c>
      <c r="F2115">
        <f t="shared" si="22"/>
        <v>8</v>
      </c>
    </row>
    <row r="2116" spans="1:6">
      <c r="A2116">
        <v>5002010</v>
      </c>
      <c r="B2116">
        <v>2018</v>
      </c>
      <c r="C2116" s="10" t="s">
        <v>7</v>
      </c>
      <c r="D2116" s="15">
        <v>724966</v>
      </c>
      <c r="E2116">
        <f>IFERROR(VLOOKUP(C2116,'LEAID Match'!$A$2:$B$214,2,FALSE),"")</f>
        <v>5002010</v>
      </c>
      <c r="F2116">
        <f t="shared" si="22"/>
        <v>8</v>
      </c>
    </row>
    <row r="2117" spans="1:6">
      <c r="A2117">
        <v>5002010</v>
      </c>
      <c r="B2117">
        <v>2019</v>
      </c>
      <c r="C2117" s="10" t="s">
        <v>7</v>
      </c>
      <c r="D2117" s="15">
        <v>772930</v>
      </c>
      <c r="E2117">
        <f>IFERROR(VLOOKUP(C2117,'LEAID Match'!$A$2:$B$214,2,FALSE),"")</f>
        <v>5002010</v>
      </c>
      <c r="F2117">
        <f t="shared" si="22"/>
        <v>8</v>
      </c>
    </row>
    <row r="2118" spans="1:6">
      <c r="A2118">
        <v>5002010</v>
      </c>
      <c r="B2118">
        <v>2020</v>
      </c>
      <c r="C2118" s="10" t="s">
        <v>7</v>
      </c>
      <c r="D2118" s="15">
        <v>0</v>
      </c>
      <c r="E2118">
        <f>IFERROR(VLOOKUP(C2118,'LEAID Match'!$A$2:$B$214,2,FALSE),"")</f>
        <v>5002010</v>
      </c>
      <c r="F2118">
        <f t="shared" si="22"/>
        <v>8</v>
      </c>
    </row>
    <row r="2119" spans="1:6">
      <c r="A2119">
        <v>5002010</v>
      </c>
      <c r="B2119">
        <v>2021</v>
      </c>
      <c r="C2119" s="10" t="s">
        <v>7</v>
      </c>
      <c r="D2119" s="15">
        <v>0</v>
      </c>
      <c r="E2119">
        <f>IFERROR(VLOOKUP(C2119,'LEAID Match'!$A$2:$B$214,2,FALSE),"")</f>
        <v>5002010</v>
      </c>
      <c r="F2119">
        <f t="shared" si="22"/>
        <v>8</v>
      </c>
    </row>
    <row r="2120" spans="1:6">
      <c r="A2120">
        <v>5002010</v>
      </c>
      <c r="B2120">
        <v>2022</v>
      </c>
      <c r="C2120" s="10" t="s">
        <v>7</v>
      </c>
      <c r="D2120" s="15">
        <v>0</v>
      </c>
      <c r="E2120">
        <f>IFERROR(VLOOKUP(C2120,'LEAID Match'!$A$2:$B$214,2,FALSE),"")</f>
        <v>5002010</v>
      </c>
      <c r="F2120">
        <f t="shared" si="22"/>
        <v>8</v>
      </c>
    </row>
    <row r="2121" spans="1:6">
      <c r="A2121">
        <v>5001980</v>
      </c>
      <c r="B2121">
        <v>2015</v>
      </c>
      <c r="C2121" s="10" t="s">
        <v>6</v>
      </c>
      <c r="D2121" s="15">
        <v>165974.81</v>
      </c>
      <c r="E2121">
        <f>IFERROR(VLOOKUP(C2121,'LEAID Match'!$A$2:$B$214,2,FALSE),"")</f>
        <v>5001980</v>
      </c>
      <c r="F2121">
        <f t="shared" si="22"/>
        <v>8</v>
      </c>
    </row>
    <row r="2122" spans="1:6">
      <c r="A2122">
        <v>5001980</v>
      </c>
      <c r="B2122">
        <v>2016</v>
      </c>
      <c r="C2122" s="10" t="s">
        <v>6</v>
      </c>
      <c r="D2122" s="15">
        <v>153563.20000000001</v>
      </c>
      <c r="E2122">
        <f>IFERROR(VLOOKUP(C2122,'LEAID Match'!$A$2:$B$214,2,FALSE),"")</f>
        <v>5001980</v>
      </c>
      <c r="F2122">
        <f t="shared" si="22"/>
        <v>8</v>
      </c>
    </row>
    <row r="2123" spans="1:6">
      <c r="A2123">
        <v>5001980</v>
      </c>
      <c r="B2123">
        <v>2017</v>
      </c>
      <c r="C2123" s="10" t="s">
        <v>6</v>
      </c>
      <c r="D2123" s="15">
        <v>147561</v>
      </c>
      <c r="E2123">
        <f>IFERROR(VLOOKUP(C2123,'LEAID Match'!$A$2:$B$214,2,FALSE),"")</f>
        <v>5001980</v>
      </c>
      <c r="F2123">
        <f t="shared" si="22"/>
        <v>8</v>
      </c>
    </row>
    <row r="2124" spans="1:6">
      <c r="A2124">
        <v>5001980</v>
      </c>
      <c r="B2124">
        <v>2018</v>
      </c>
      <c r="C2124" s="10" t="s">
        <v>6</v>
      </c>
      <c r="D2124" s="15">
        <v>209336</v>
      </c>
      <c r="E2124">
        <f>IFERROR(VLOOKUP(C2124,'LEAID Match'!$A$2:$B$214,2,FALSE),"")</f>
        <v>5001980</v>
      </c>
      <c r="F2124">
        <f t="shared" si="22"/>
        <v>8</v>
      </c>
    </row>
    <row r="2125" spans="1:6">
      <c r="A2125">
        <v>5001980</v>
      </c>
      <c r="B2125">
        <v>2019</v>
      </c>
      <c r="C2125" s="10" t="s">
        <v>6</v>
      </c>
      <c r="D2125" s="15">
        <v>0</v>
      </c>
      <c r="E2125">
        <f>IFERROR(VLOOKUP(C2125,'LEAID Match'!$A$2:$B$214,2,FALSE),"")</f>
        <v>5001980</v>
      </c>
      <c r="F2125">
        <f t="shared" si="22"/>
        <v>8</v>
      </c>
    </row>
    <row r="2126" spans="1:6">
      <c r="A2126">
        <v>5001980</v>
      </c>
      <c r="B2126">
        <v>2020</v>
      </c>
      <c r="C2126" s="10" t="s">
        <v>6</v>
      </c>
      <c r="D2126" s="15">
        <v>0</v>
      </c>
      <c r="E2126">
        <f>IFERROR(VLOOKUP(C2126,'LEAID Match'!$A$2:$B$214,2,FALSE),"")</f>
        <v>5001980</v>
      </c>
      <c r="F2126">
        <f t="shared" si="22"/>
        <v>8</v>
      </c>
    </row>
    <row r="2127" spans="1:6">
      <c r="A2127">
        <v>5001980</v>
      </c>
      <c r="B2127">
        <v>2021</v>
      </c>
      <c r="C2127" s="10" t="s">
        <v>6</v>
      </c>
      <c r="D2127" s="15">
        <v>0</v>
      </c>
      <c r="E2127">
        <f>IFERROR(VLOOKUP(C2127,'LEAID Match'!$A$2:$B$214,2,FALSE),"")</f>
        <v>5001980</v>
      </c>
      <c r="F2127">
        <f t="shared" si="22"/>
        <v>8</v>
      </c>
    </row>
    <row r="2128" spans="1:6">
      <c r="A2128">
        <v>5001980</v>
      </c>
      <c r="B2128">
        <v>2022</v>
      </c>
      <c r="C2128" s="10" t="s">
        <v>6</v>
      </c>
      <c r="D2128" s="15">
        <v>0</v>
      </c>
      <c r="E2128">
        <f>IFERROR(VLOOKUP(C2128,'LEAID Match'!$A$2:$B$214,2,FALSE),"")</f>
        <v>5001980</v>
      </c>
      <c r="F2128">
        <f t="shared" si="22"/>
        <v>8</v>
      </c>
    </row>
    <row r="2129" spans="1:6">
      <c r="A2129">
        <v>5001950</v>
      </c>
      <c r="B2129">
        <v>2015</v>
      </c>
      <c r="C2129" s="10" t="s">
        <v>5</v>
      </c>
      <c r="D2129" s="15">
        <v>54919.37</v>
      </c>
      <c r="E2129">
        <f>IFERROR(VLOOKUP(C2129,'LEAID Match'!$A$2:$B$214,2,FALSE),"")</f>
        <v>5001950</v>
      </c>
      <c r="F2129">
        <f t="shared" si="22"/>
        <v>8</v>
      </c>
    </row>
    <row r="2130" spans="1:6">
      <c r="A2130">
        <v>5001950</v>
      </c>
      <c r="B2130">
        <v>2016</v>
      </c>
      <c r="C2130" s="10" t="s">
        <v>5</v>
      </c>
      <c r="D2130" s="15">
        <v>44687.79</v>
      </c>
      <c r="E2130">
        <f>IFERROR(VLOOKUP(C2130,'LEAID Match'!$A$2:$B$214,2,FALSE),"")</f>
        <v>5001950</v>
      </c>
      <c r="F2130">
        <f t="shared" si="22"/>
        <v>8</v>
      </c>
    </row>
    <row r="2131" spans="1:6">
      <c r="A2131">
        <v>5001950</v>
      </c>
      <c r="B2131">
        <v>2017</v>
      </c>
      <c r="C2131" s="10" t="s">
        <v>5</v>
      </c>
      <c r="D2131" s="15">
        <v>52640</v>
      </c>
      <c r="E2131">
        <f>IFERROR(VLOOKUP(C2131,'LEAID Match'!$A$2:$B$214,2,FALSE),"")</f>
        <v>5001950</v>
      </c>
      <c r="F2131">
        <f t="shared" si="22"/>
        <v>8</v>
      </c>
    </row>
    <row r="2132" spans="1:6">
      <c r="A2132">
        <v>5001950</v>
      </c>
      <c r="B2132">
        <v>2018</v>
      </c>
      <c r="C2132" s="10" t="s">
        <v>5</v>
      </c>
      <c r="D2132" s="15">
        <v>81968</v>
      </c>
      <c r="E2132">
        <f>IFERROR(VLOOKUP(C2132,'LEAID Match'!$A$2:$B$214,2,FALSE),"")</f>
        <v>5001950</v>
      </c>
      <c r="F2132">
        <f t="shared" si="22"/>
        <v>8</v>
      </c>
    </row>
    <row r="2133" spans="1:6">
      <c r="A2133">
        <v>5001950</v>
      </c>
      <c r="B2133">
        <v>2019</v>
      </c>
      <c r="C2133" s="10" t="s">
        <v>5</v>
      </c>
      <c r="D2133" s="15">
        <v>82251</v>
      </c>
      <c r="E2133">
        <f>IFERROR(VLOOKUP(C2133,'LEAID Match'!$A$2:$B$214,2,FALSE),"")</f>
        <v>5001950</v>
      </c>
      <c r="F2133">
        <f t="shared" si="22"/>
        <v>8</v>
      </c>
    </row>
    <row r="2134" spans="1:6">
      <c r="A2134">
        <v>5001950</v>
      </c>
      <c r="B2134">
        <v>2020</v>
      </c>
      <c r="C2134" s="10" t="s">
        <v>5</v>
      </c>
      <c r="D2134" s="15">
        <v>89301</v>
      </c>
      <c r="E2134">
        <f>IFERROR(VLOOKUP(C2134,'LEAID Match'!$A$2:$B$214,2,FALSE),"")</f>
        <v>5001950</v>
      </c>
      <c r="F2134">
        <f t="shared" si="22"/>
        <v>8</v>
      </c>
    </row>
    <row r="2135" spans="1:6">
      <c r="A2135">
        <v>5001950</v>
      </c>
      <c r="B2135">
        <v>2021</v>
      </c>
      <c r="C2135" s="10" t="s">
        <v>5</v>
      </c>
      <c r="D2135" s="15">
        <v>0</v>
      </c>
      <c r="E2135">
        <f>IFERROR(VLOOKUP(C2135,'LEAID Match'!$A$2:$B$214,2,FALSE),"")</f>
        <v>5001950</v>
      </c>
      <c r="F2135">
        <f t="shared" si="22"/>
        <v>8</v>
      </c>
    </row>
    <row r="2136" spans="1:6">
      <c r="A2136">
        <v>5001950</v>
      </c>
      <c r="B2136">
        <v>2022</v>
      </c>
      <c r="C2136" s="10" t="s">
        <v>5</v>
      </c>
      <c r="D2136" s="15">
        <v>0</v>
      </c>
      <c r="E2136">
        <f>IFERROR(VLOOKUP(C2136,'LEAID Match'!$A$2:$B$214,2,FALSE),"")</f>
        <v>5001950</v>
      </c>
      <c r="F2136">
        <f t="shared" si="22"/>
        <v>8</v>
      </c>
    </row>
    <row r="2137" spans="1:6">
      <c r="A2137">
        <v>5001890</v>
      </c>
      <c r="B2137">
        <v>2015</v>
      </c>
      <c r="C2137" s="10" t="s">
        <v>4</v>
      </c>
      <c r="D2137" s="15">
        <v>71031.100000000006</v>
      </c>
      <c r="E2137">
        <f>IFERROR(VLOOKUP(C2137,'LEAID Match'!$A$2:$B$214,2,FALSE),"")</f>
        <v>5001890</v>
      </c>
      <c r="F2137">
        <f t="shared" si="22"/>
        <v>8</v>
      </c>
    </row>
    <row r="2138" spans="1:6">
      <c r="A2138">
        <v>5001890</v>
      </c>
      <c r="B2138">
        <v>2016</v>
      </c>
      <c r="C2138" s="10" t="s">
        <v>4</v>
      </c>
      <c r="D2138" s="15">
        <v>85455.65</v>
      </c>
      <c r="E2138">
        <f>IFERROR(VLOOKUP(C2138,'LEAID Match'!$A$2:$B$214,2,FALSE),"")</f>
        <v>5001890</v>
      </c>
      <c r="F2138">
        <f t="shared" si="22"/>
        <v>8</v>
      </c>
    </row>
    <row r="2139" spans="1:6">
      <c r="A2139">
        <v>5001890</v>
      </c>
      <c r="B2139">
        <v>2017</v>
      </c>
      <c r="C2139" s="10" t="s">
        <v>4</v>
      </c>
      <c r="D2139" s="15">
        <v>88083</v>
      </c>
      <c r="E2139">
        <f>IFERROR(VLOOKUP(C2139,'LEAID Match'!$A$2:$B$214,2,FALSE),"")</f>
        <v>5001890</v>
      </c>
      <c r="F2139">
        <f t="shared" si="22"/>
        <v>8</v>
      </c>
    </row>
    <row r="2140" spans="1:6">
      <c r="A2140">
        <v>5001890</v>
      </c>
      <c r="B2140">
        <v>2018</v>
      </c>
      <c r="C2140" s="10" t="s">
        <v>4</v>
      </c>
      <c r="D2140" s="15">
        <v>116123</v>
      </c>
      <c r="E2140">
        <f>IFERROR(VLOOKUP(C2140,'LEAID Match'!$A$2:$B$214,2,FALSE),"")</f>
        <v>5001890</v>
      </c>
      <c r="F2140">
        <f t="shared" si="22"/>
        <v>8</v>
      </c>
    </row>
    <row r="2141" spans="1:6">
      <c r="A2141">
        <v>5001890</v>
      </c>
      <c r="B2141">
        <v>2019</v>
      </c>
      <c r="C2141" s="10" t="s">
        <v>4</v>
      </c>
      <c r="D2141" s="15">
        <v>116951</v>
      </c>
      <c r="E2141">
        <f>IFERROR(VLOOKUP(C2141,'LEAID Match'!$A$2:$B$214,2,FALSE),"")</f>
        <v>5001890</v>
      </c>
      <c r="F2141">
        <f t="shared" si="22"/>
        <v>8</v>
      </c>
    </row>
    <row r="2142" spans="1:6">
      <c r="A2142">
        <v>5001890</v>
      </c>
      <c r="B2142">
        <v>2020</v>
      </c>
      <c r="C2142" s="10" t="s">
        <v>4</v>
      </c>
      <c r="D2142" s="15">
        <v>0</v>
      </c>
      <c r="E2142">
        <f>IFERROR(VLOOKUP(C2142,'LEAID Match'!$A$2:$B$214,2,FALSE),"")</f>
        <v>5001890</v>
      </c>
      <c r="F2142">
        <f t="shared" si="22"/>
        <v>8</v>
      </c>
    </row>
    <row r="2143" spans="1:6">
      <c r="A2143">
        <v>5001890</v>
      </c>
      <c r="B2143">
        <v>2021</v>
      </c>
      <c r="C2143" s="10" t="s">
        <v>4</v>
      </c>
      <c r="D2143" s="15">
        <v>0</v>
      </c>
      <c r="E2143">
        <f>IFERROR(VLOOKUP(C2143,'LEAID Match'!$A$2:$B$214,2,FALSE),"")</f>
        <v>5001890</v>
      </c>
      <c r="F2143">
        <f t="shared" si="22"/>
        <v>8</v>
      </c>
    </row>
    <row r="2144" spans="1:6">
      <c r="A2144">
        <v>5001890</v>
      </c>
      <c r="B2144">
        <v>2022</v>
      </c>
      <c r="C2144" s="10" t="s">
        <v>4</v>
      </c>
      <c r="D2144" s="15">
        <v>0</v>
      </c>
      <c r="E2144">
        <f>IFERROR(VLOOKUP(C2144,'LEAID Match'!$A$2:$B$214,2,FALSE),"")</f>
        <v>5001890</v>
      </c>
      <c r="F2144">
        <f t="shared" si="22"/>
        <v>8</v>
      </c>
    </row>
    <row r="2145" spans="1:6">
      <c r="A2145">
        <v>5001830</v>
      </c>
      <c r="B2145">
        <v>2015</v>
      </c>
      <c r="C2145" s="10" t="s">
        <v>3</v>
      </c>
      <c r="D2145" s="15">
        <v>349530.48</v>
      </c>
      <c r="E2145">
        <f>IFERROR(VLOOKUP(C2145,'LEAID Match'!$A$2:$B$214,2,FALSE),"")</f>
        <v>5001830</v>
      </c>
      <c r="F2145">
        <f t="shared" si="22"/>
        <v>8</v>
      </c>
    </row>
    <row r="2146" spans="1:6">
      <c r="A2146">
        <v>5001830</v>
      </c>
      <c r="B2146">
        <v>2016</v>
      </c>
      <c r="C2146" s="10" t="s">
        <v>3</v>
      </c>
      <c r="D2146" s="15">
        <v>378749.61</v>
      </c>
      <c r="E2146">
        <f>IFERROR(VLOOKUP(C2146,'LEAID Match'!$A$2:$B$214,2,FALSE),"")</f>
        <v>5001830</v>
      </c>
      <c r="F2146">
        <f t="shared" si="22"/>
        <v>8</v>
      </c>
    </row>
    <row r="2147" spans="1:6">
      <c r="A2147">
        <v>5001830</v>
      </c>
      <c r="B2147">
        <v>2017</v>
      </c>
      <c r="C2147" s="10" t="s">
        <v>3</v>
      </c>
      <c r="D2147" s="15">
        <v>423575</v>
      </c>
      <c r="E2147">
        <f>IFERROR(VLOOKUP(C2147,'LEAID Match'!$A$2:$B$214,2,FALSE),"")</f>
        <v>5001830</v>
      </c>
      <c r="F2147">
        <f t="shared" si="22"/>
        <v>8</v>
      </c>
    </row>
    <row r="2148" spans="1:6">
      <c r="A2148">
        <v>5001830</v>
      </c>
      <c r="B2148">
        <v>2018</v>
      </c>
      <c r="C2148" s="10" t="s">
        <v>3</v>
      </c>
      <c r="D2148" s="15">
        <v>558829</v>
      </c>
      <c r="E2148">
        <f>IFERROR(VLOOKUP(C2148,'LEAID Match'!$A$2:$B$214,2,FALSE),"")</f>
        <v>5001830</v>
      </c>
      <c r="F2148">
        <f t="shared" si="22"/>
        <v>8</v>
      </c>
    </row>
    <row r="2149" spans="1:6">
      <c r="A2149">
        <v>5001830</v>
      </c>
      <c r="B2149">
        <v>2019</v>
      </c>
      <c r="C2149" s="10" t="s">
        <v>3</v>
      </c>
      <c r="D2149" s="15">
        <v>564865</v>
      </c>
      <c r="E2149">
        <f>IFERROR(VLOOKUP(C2149,'LEAID Match'!$A$2:$B$214,2,FALSE),"")</f>
        <v>5001830</v>
      </c>
      <c r="F2149">
        <f t="shared" si="22"/>
        <v>8</v>
      </c>
    </row>
    <row r="2150" spans="1:6">
      <c r="A2150">
        <v>5001830</v>
      </c>
      <c r="B2150">
        <v>2020</v>
      </c>
      <c r="C2150" s="10" t="s">
        <v>3</v>
      </c>
      <c r="D2150" s="15">
        <v>583653</v>
      </c>
      <c r="E2150">
        <f>IFERROR(VLOOKUP(C2150,'LEAID Match'!$A$2:$B$214,2,FALSE),"")</f>
        <v>5001830</v>
      </c>
      <c r="F2150">
        <f t="shared" si="22"/>
        <v>8</v>
      </c>
    </row>
    <row r="2151" spans="1:6">
      <c r="A2151">
        <v>5001830</v>
      </c>
      <c r="B2151">
        <v>2021</v>
      </c>
      <c r="C2151" s="10" t="s">
        <v>3</v>
      </c>
      <c r="D2151" s="15">
        <v>585633</v>
      </c>
      <c r="E2151">
        <f>IFERROR(VLOOKUP(C2151,'LEAID Match'!$A$2:$B$214,2,FALSE),"")</f>
        <v>5001830</v>
      </c>
      <c r="F2151">
        <f t="shared" si="22"/>
        <v>8</v>
      </c>
    </row>
    <row r="2152" spans="1:6">
      <c r="A2152">
        <v>5001830</v>
      </c>
      <c r="B2152">
        <v>2022</v>
      </c>
      <c r="C2152" s="10" t="s">
        <v>3</v>
      </c>
      <c r="D2152" s="15">
        <v>1099652</v>
      </c>
      <c r="E2152">
        <f>IFERROR(VLOOKUP(C2152,'LEAID Match'!$A$2:$B$214,2,FALSE),"")</f>
        <v>5001830</v>
      </c>
      <c r="F2152">
        <f t="shared" si="22"/>
        <v>8</v>
      </c>
    </row>
    <row r="2153" spans="1:6">
      <c r="A2153">
        <v>5001770</v>
      </c>
      <c r="B2153">
        <v>2015</v>
      </c>
      <c r="C2153" s="10" t="s">
        <v>2</v>
      </c>
      <c r="D2153" s="15">
        <v>163807.84</v>
      </c>
      <c r="E2153">
        <f>IFERROR(VLOOKUP(C2153,'LEAID Match'!$A$2:$B$214,2,FALSE),"")</f>
        <v>5001770</v>
      </c>
      <c r="F2153">
        <f t="shared" si="22"/>
        <v>8</v>
      </c>
    </row>
    <row r="2154" spans="1:6">
      <c r="A2154">
        <v>5001770</v>
      </c>
      <c r="B2154">
        <v>2016</v>
      </c>
      <c r="C2154" s="10" t="s">
        <v>2</v>
      </c>
      <c r="D2154" s="15">
        <v>150487.72</v>
      </c>
      <c r="E2154">
        <f>IFERROR(VLOOKUP(C2154,'LEAID Match'!$A$2:$B$214,2,FALSE),"")</f>
        <v>5001770</v>
      </c>
      <c r="F2154">
        <f t="shared" si="22"/>
        <v>8</v>
      </c>
    </row>
    <row r="2155" spans="1:6">
      <c r="A2155">
        <v>5001770</v>
      </c>
      <c r="B2155">
        <v>2017</v>
      </c>
      <c r="C2155" s="10" t="s">
        <v>2</v>
      </c>
      <c r="D2155" s="15">
        <v>130349</v>
      </c>
      <c r="E2155">
        <f>IFERROR(VLOOKUP(C2155,'LEAID Match'!$A$2:$B$214,2,FALSE),"")</f>
        <v>5001770</v>
      </c>
      <c r="F2155">
        <f t="shared" si="22"/>
        <v>8</v>
      </c>
    </row>
    <row r="2156" spans="1:6">
      <c r="A2156">
        <v>5001770</v>
      </c>
      <c r="B2156">
        <v>2018</v>
      </c>
      <c r="C2156" s="10" t="s">
        <v>2</v>
      </c>
      <c r="D2156" s="15">
        <v>193711</v>
      </c>
      <c r="E2156">
        <f>IFERROR(VLOOKUP(C2156,'LEAID Match'!$A$2:$B$214,2,FALSE),"")</f>
        <v>5001770</v>
      </c>
      <c r="F2156">
        <f t="shared" si="22"/>
        <v>8</v>
      </c>
    </row>
    <row r="2157" spans="1:6">
      <c r="A2157">
        <v>5001770</v>
      </c>
      <c r="B2157">
        <v>2019</v>
      </c>
      <c r="C2157" s="10" t="s">
        <v>2</v>
      </c>
      <c r="D2157" s="15">
        <v>191576</v>
      </c>
      <c r="E2157">
        <f>IFERROR(VLOOKUP(C2157,'LEAID Match'!$A$2:$B$214,2,FALSE),"")</f>
        <v>5001770</v>
      </c>
      <c r="F2157">
        <f t="shared" si="22"/>
        <v>8</v>
      </c>
    </row>
    <row r="2158" spans="1:6">
      <c r="A2158">
        <v>5001770</v>
      </c>
      <c r="B2158">
        <v>2020</v>
      </c>
      <c r="C2158" s="10" t="s">
        <v>2</v>
      </c>
      <c r="D2158" s="15">
        <v>209896</v>
      </c>
      <c r="E2158">
        <f>IFERROR(VLOOKUP(C2158,'LEAID Match'!$A$2:$B$214,2,FALSE),"")</f>
        <v>5001770</v>
      </c>
      <c r="F2158">
        <f t="shared" si="22"/>
        <v>8</v>
      </c>
    </row>
    <row r="2159" spans="1:6">
      <c r="A2159">
        <v>5001770</v>
      </c>
      <c r="B2159">
        <v>2021</v>
      </c>
      <c r="C2159" s="10" t="s">
        <v>2</v>
      </c>
      <c r="D2159" s="15">
        <v>222580</v>
      </c>
      <c r="E2159">
        <f>IFERROR(VLOOKUP(C2159,'LEAID Match'!$A$2:$B$214,2,FALSE),"")</f>
        <v>5001770</v>
      </c>
      <c r="F2159">
        <f t="shared" si="22"/>
        <v>8</v>
      </c>
    </row>
    <row r="2160" spans="1:6">
      <c r="A2160">
        <v>5001770</v>
      </c>
      <c r="B2160">
        <v>2022</v>
      </c>
      <c r="C2160" s="10" t="s">
        <v>2</v>
      </c>
      <c r="D2160" s="15">
        <v>562740</v>
      </c>
      <c r="E2160">
        <f>IFERROR(VLOOKUP(C2160,'LEAID Match'!$A$2:$B$214,2,FALSE),"")</f>
        <v>5001770</v>
      </c>
      <c r="F2160">
        <f t="shared" si="22"/>
        <v>8</v>
      </c>
    </row>
    <row r="2161" spans="1:6">
      <c r="A2161">
        <v>5001740</v>
      </c>
      <c r="B2161">
        <v>2015</v>
      </c>
      <c r="C2161" s="10" t="s">
        <v>1</v>
      </c>
      <c r="D2161" s="15">
        <v>59865.38</v>
      </c>
      <c r="E2161">
        <f>IFERROR(VLOOKUP(C2161,'LEAID Match'!$A$2:$B$214,2,FALSE),"")</f>
        <v>5001740</v>
      </c>
      <c r="F2161">
        <f t="shared" si="22"/>
        <v>8</v>
      </c>
    </row>
    <row r="2162" spans="1:6">
      <c r="A2162">
        <v>5001740</v>
      </c>
      <c r="B2162">
        <v>2016</v>
      </c>
      <c r="C2162" s="10" t="s">
        <v>1</v>
      </c>
      <c r="D2162" s="15">
        <v>57014.25</v>
      </c>
      <c r="E2162">
        <f>IFERROR(VLOOKUP(C2162,'LEAID Match'!$A$2:$B$214,2,FALSE),"")</f>
        <v>5001740</v>
      </c>
      <c r="F2162">
        <f t="shared" si="22"/>
        <v>8</v>
      </c>
    </row>
    <row r="2163" spans="1:6">
      <c r="A2163">
        <v>5001740</v>
      </c>
      <c r="B2163">
        <v>2017</v>
      </c>
      <c r="C2163" s="10" t="s">
        <v>1</v>
      </c>
      <c r="D2163" s="15">
        <v>64137</v>
      </c>
      <c r="E2163">
        <f>IFERROR(VLOOKUP(C2163,'LEAID Match'!$A$2:$B$214,2,FALSE),"")</f>
        <v>5001740</v>
      </c>
      <c r="F2163">
        <f t="shared" si="22"/>
        <v>8</v>
      </c>
    </row>
    <row r="2164" spans="1:6">
      <c r="A2164">
        <v>5001740</v>
      </c>
      <c r="B2164">
        <v>2018</v>
      </c>
      <c r="C2164" s="10" t="s">
        <v>1</v>
      </c>
      <c r="D2164" s="15">
        <v>69931</v>
      </c>
      <c r="E2164">
        <f>IFERROR(VLOOKUP(C2164,'LEAID Match'!$A$2:$B$214,2,FALSE),"")</f>
        <v>5001740</v>
      </c>
      <c r="F2164">
        <f t="shared" si="22"/>
        <v>8</v>
      </c>
    </row>
    <row r="2165" spans="1:6">
      <c r="A2165">
        <v>5001740</v>
      </c>
      <c r="B2165">
        <v>2019</v>
      </c>
      <c r="C2165" s="10" t="s">
        <v>1</v>
      </c>
      <c r="D2165" s="15">
        <v>72779</v>
      </c>
      <c r="E2165">
        <f>IFERROR(VLOOKUP(C2165,'LEAID Match'!$A$2:$B$214,2,FALSE),"")</f>
        <v>5001740</v>
      </c>
      <c r="F2165">
        <f t="shared" si="22"/>
        <v>8</v>
      </c>
    </row>
    <row r="2166" spans="1:6">
      <c r="A2166">
        <v>5001740</v>
      </c>
      <c r="B2166">
        <v>2020</v>
      </c>
      <c r="C2166" s="10" t="s">
        <v>1</v>
      </c>
      <c r="D2166" s="15">
        <v>0</v>
      </c>
      <c r="E2166">
        <f>IFERROR(VLOOKUP(C2166,'LEAID Match'!$A$2:$B$214,2,FALSE),"")</f>
        <v>5001740</v>
      </c>
      <c r="F2166">
        <f t="shared" si="22"/>
        <v>8</v>
      </c>
    </row>
    <row r="2167" spans="1:6">
      <c r="A2167">
        <v>5001740</v>
      </c>
      <c r="B2167">
        <v>2021</v>
      </c>
      <c r="C2167" s="10" t="s">
        <v>1</v>
      </c>
      <c r="D2167" s="15">
        <v>0</v>
      </c>
      <c r="E2167">
        <f>IFERROR(VLOOKUP(C2167,'LEAID Match'!$A$2:$B$214,2,FALSE),"")</f>
        <v>5001740</v>
      </c>
      <c r="F2167">
        <f t="shared" si="22"/>
        <v>8</v>
      </c>
    </row>
    <row r="2168" spans="1:6">
      <c r="A2168">
        <v>5001740</v>
      </c>
      <c r="B2168">
        <v>2022</v>
      </c>
      <c r="C2168" s="10" t="s">
        <v>1</v>
      </c>
      <c r="D2168" s="15">
        <v>0</v>
      </c>
      <c r="E2168">
        <f>IFERROR(VLOOKUP(C2168,'LEAID Match'!$A$2:$B$214,2,FALSE),"")</f>
        <v>5001740</v>
      </c>
      <c r="F2168">
        <f t="shared" si="22"/>
        <v>8</v>
      </c>
    </row>
    <row r="2169" spans="1:6">
      <c r="A2169">
        <v>5001710</v>
      </c>
      <c r="B2169">
        <v>2015</v>
      </c>
      <c r="C2169" s="10" t="s">
        <v>0</v>
      </c>
      <c r="D2169" s="15">
        <v>56010.18</v>
      </c>
      <c r="E2169">
        <f>IFERROR(VLOOKUP(C2169,'LEAID Match'!$A$2:$B$214,2,FALSE),"")</f>
        <v>5001710</v>
      </c>
      <c r="F2169">
        <f t="shared" si="22"/>
        <v>8</v>
      </c>
    </row>
    <row r="2170" spans="1:6">
      <c r="A2170">
        <v>5001710</v>
      </c>
      <c r="B2170">
        <v>2016</v>
      </c>
      <c r="C2170" s="10" t="s">
        <v>0</v>
      </c>
      <c r="D2170" s="15">
        <v>54922.82</v>
      </c>
      <c r="E2170">
        <f>IFERROR(VLOOKUP(C2170,'LEAID Match'!$A$2:$B$214,2,FALSE),"")</f>
        <v>5001710</v>
      </c>
      <c r="F2170">
        <f t="shared" si="22"/>
        <v>8</v>
      </c>
    </row>
    <row r="2171" spans="1:6">
      <c r="A2171">
        <v>5001710</v>
      </c>
      <c r="B2171">
        <v>2017</v>
      </c>
      <c r="C2171" s="10" t="s">
        <v>0</v>
      </c>
      <c r="D2171" s="15">
        <v>59629</v>
      </c>
      <c r="E2171">
        <f>IFERROR(VLOOKUP(C2171,'LEAID Match'!$A$2:$B$214,2,FALSE),"")</f>
        <v>5001710</v>
      </c>
      <c r="F2171">
        <f t="shared" si="22"/>
        <v>8</v>
      </c>
    </row>
    <row r="2172" spans="1:6">
      <c r="A2172">
        <v>5001710</v>
      </c>
      <c r="B2172">
        <v>2018</v>
      </c>
      <c r="C2172" s="10" t="s">
        <v>0</v>
      </c>
      <c r="D2172" s="15">
        <v>394</v>
      </c>
      <c r="E2172">
        <f>IFERROR(VLOOKUP(C2172,'LEAID Match'!$A$2:$B$214,2,FALSE),"")</f>
        <v>5001710</v>
      </c>
      <c r="F2172">
        <f t="shared" si="22"/>
        <v>8</v>
      </c>
    </row>
    <row r="2173" spans="1:6">
      <c r="A2173">
        <v>5001710</v>
      </c>
      <c r="B2173">
        <v>2019</v>
      </c>
      <c r="C2173" s="10" t="s">
        <v>0</v>
      </c>
      <c r="D2173" s="15">
        <v>0</v>
      </c>
      <c r="E2173">
        <f>IFERROR(VLOOKUP(C2173,'LEAID Match'!$A$2:$B$214,2,FALSE),"")</f>
        <v>5001710</v>
      </c>
      <c r="F2173">
        <f t="shared" si="22"/>
        <v>8</v>
      </c>
    </row>
    <row r="2174" spans="1:6">
      <c r="A2174">
        <v>5001710</v>
      </c>
      <c r="B2174">
        <v>2020</v>
      </c>
      <c r="C2174" s="10" t="s">
        <v>0</v>
      </c>
      <c r="D2174" s="15">
        <v>0</v>
      </c>
      <c r="E2174">
        <f>IFERROR(VLOOKUP(C2174,'LEAID Match'!$A$2:$B$214,2,FALSE),"")</f>
        <v>5001710</v>
      </c>
      <c r="F2174">
        <f t="shared" si="22"/>
        <v>8</v>
      </c>
    </row>
    <row r="2175" spans="1:6">
      <c r="A2175">
        <v>5001710</v>
      </c>
      <c r="B2175">
        <v>2021</v>
      </c>
      <c r="C2175" s="10" t="s">
        <v>0</v>
      </c>
      <c r="D2175" s="15">
        <v>0</v>
      </c>
      <c r="E2175">
        <f>IFERROR(VLOOKUP(C2175,'LEAID Match'!$A$2:$B$214,2,FALSE),"")</f>
        <v>5001710</v>
      </c>
      <c r="F2175">
        <f t="shared" si="22"/>
        <v>8</v>
      </c>
    </row>
    <row r="2176" spans="1:6">
      <c r="A2176">
        <v>5001710</v>
      </c>
      <c r="B2176">
        <v>2022</v>
      </c>
      <c r="C2176" s="10" t="s">
        <v>0</v>
      </c>
      <c r="D2176" s="15">
        <v>0</v>
      </c>
      <c r="E2176">
        <f>IFERROR(VLOOKUP(C2176,'LEAID Match'!$A$2:$B$214,2,FALSE),"")</f>
        <v>5001710</v>
      </c>
      <c r="F2176">
        <f t="shared" si="22"/>
        <v>8</v>
      </c>
    </row>
    <row r="2177" spans="1:6">
      <c r="A2177">
        <v>5000434</v>
      </c>
      <c r="B2177">
        <v>2015</v>
      </c>
      <c r="C2177" s="10" t="s">
        <v>267</v>
      </c>
      <c r="D2177" s="15">
        <v>187113.99</v>
      </c>
      <c r="E2177">
        <f>IFERROR(VLOOKUP(C2177,'LEAID Match'!$A$2:$B$214,2,FALSE),"")</f>
        <v>5000434</v>
      </c>
      <c r="F2177">
        <f t="shared" si="22"/>
        <v>8</v>
      </c>
    </row>
    <row r="2178" spans="1:6">
      <c r="A2178">
        <v>5000434</v>
      </c>
      <c r="B2178">
        <v>2016</v>
      </c>
      <c r="C2178" s="10" t="s">
        <v>267</v>
      </c>
      <c r="D2178" s="15">
        <v>192996.69</v>
      </c>
      <c r="E2178">
        <f>IFERROR(VLOOKUP(C2178,'LEAID Match'!$A$2:$B$214,2,FALSE),"")</f>
        <v>5000434</v>
      </c>
      <c r="F2178">
        <f t="shared" ref="F2178:F2241" si="23">COUNTIF($A$705:$A$2272,A2178)</f>
        <v>8</v>
      </c>
    </row>
    <row r="2179" spans="1:6">
      <c r="A2179">
        <v>5000434</v>
      </c>
      <c r="B2179">
        <v>2017</v>
      </c>
      <c r="C2179" s="10" t="s">
        <v>267</v>
      </c>
      <c r="D2179" s="15">
        <v>202673</v>
      </c>
      <c r="E2179">
        <f>IFERROR(VLOOKUP(C2179,'LEAID Match'!$A$2:$B$214,2,FALSE),"")</f>
        <v>5000434</v>
      </c>
      <c r="F2179">
        <f t="shared" si="23"/>
        <v>8</v>
      </c>
    </row>
    <row r="2180" spans="1:6">
      <c r="A2180">
        <v>5000434</v>
      </c>
      <c r="B2180">
        <v>2018</v>
      </c>
      <c r="C2180" s="10" t="s">
        <v>267</v>
      </c>
      <c r="D2180" s="15">
        <v>253923</v>
      </c>
      <c r="E2180">
        <f>IFERROR(VLOOKUP(C2180,'LEAID Match'!$A$2:$B$214,2,FALSE),"")</f>
        <v>5000434</v>
      </c>
      <c r="F2180">
        <f t="shared" si="23"/>
        <v>8</v>
      </c>
    </row>
    <row r="2181" spans="1:6">
      <c r="A2181">
        <v>5000434</v>
      </c>
      <c r="B2181">
        <v>2019</v>
      </c>
      <c r="C2181" s="10" t="s">
        <v>267</v>
      </c>
      <c r="D2181" s="15">
        <v>265690</v>
      </c>
      <c r="E2181">
        <f>IFERROR(VLOOKUP(C2181,'LEAID Match'!$A$2:$B$214,2,FALSE),"")</f>
        <v>5000434</v>
      </c>
      <c r="F2181">
        <f t="shared" si="23"/>
        <v>8</v>
      </c>
    </row>
    <row r="2182" spans="1:6">
      <c r="A2182">
        <v>5000434</v>
      </c>
      <c r="B2182">
        <v>2020</v>
      </c>
      <c r="C2182" s="10" t="s">
        <v>267</v>
      </c>
      <c r="D2182" s="15">
        <v>289836</v>
      </c>
      <c r="E2182">
        <f>IFERROR(VLOOKUP(C2182,'LEAID Match'!$A$2:$B$214,2,FALSE),"")</f>
        <v>5000434</v>
      </c>
      <c r="F2182">
        <f t="shared" si="23"/>
        <v>8</v>
      </c>
    </row>
    <row r="2183" spans="1:6">
      <c r="A2183">
        <v>5000434</v>
      </c>
      <c r="B2183">
        <v>2021</v>
      </c>
      <c r="C2183" s="10" t="s">
        <v>267</v>
      </c>
      <c r="D2183" s="15">
        <v>296466</v>
      </c>
      <c r="E2183">
        <f>IFERROR(VLOOKUP(C2183,'LEAID Match'!$A$2:$B$214,2,FALSE),"")</f>
        <v>5000434</v>
      </c>
      <c r="F2183">
        <f t="shared" si="23"/>
        <v>8</v>
      </c>
    </row>
    <row r="2184" spans="1:6">
      <c r="A2184">
        <v>5000434</v>
      </c>
      <c r="B2184">
        <v>2022</v>
      </c>
      <c r="C2184" s="10" t="s">
        <v>267</v>
      </c>
      <c r="D2184" s="15">
        <v>773297</v>
      </c>
      <c r="E2184">
        <f>IFERROR(VLOOKUP(C2184,'LEAID Match'!$A$2:$B$214,2,FALSE),"")</f>
        <v>5000434</v>
      </c>
      <c r="F2184">
        <f t="shared" si="23"/>
        <v>8</v>
      </c>
    </row>
    <row r="2185" spans="1:6">
      <c r="A2185">
        <v>5000428</v>
      </c>
      <c r="B2185">
        <v>2015</v>
      </c>
      <c r="C2185" s="10" t="s">
        <v>236</v>
      </c>
      <c r="D2185" s="15">
        <v>56307.45</v>
      </c>
      <c r="E2185">
        <f>IFERROR(VLOOKUP(C2185,'LEAID Match'!$A$2:$B$214,2,FALSE),"")</f>
        <v>5000428</v>
      </c>
      <c r="F2185">
        <f t="shared" si="23"/>
        <v>8</v>
      </c>
    </row>
    <row r="2186" spans="1:6">
      <c r="A2186">
        <v>5000428</v>
      </c>
      <c r="B2186">
        <v>2016</v>
      </c>
      <c r="C2186" s="10" t="s">
        <v>236</v>
      </c>
      <c r="D2186" s="15">
        <v>149801.75</v>
      </c>
      <c r="E2186">
        <f>IFERROR(VLOOKUP(C2186,'LEAID Match'!$A$2:$B$214,2,FALSE),"")</f>
        <v>5000428</v>
      </c>
      <c r="F2186">
        <f t="shared" si="23"/>
        <v>8</v>
      </c>
    </row>
    <row r="2187" spans="1:6">
      <c r="A2187">
        <v>5000428</v>
      </c>
      <c r="B2187">
        <v>2017</v>
      </c>
      <c r="C2187" s="10" t="s">
        <v>236</v>
      </c>
      <c r="D2187" s="15">
        <v>160116</v>
      </c>
      <c r="E2187">
        <f>IFERROR(VLOOKUP(C2187,'LEAID Match'!$A$2:$B$214,2,FALSE),"")</f>
        <v>5000428</v>
      </c>
      <c r="F2187">
        <f t="shared" si="23"/>
        <v>8</v>
      </c>
    </row>
    <row r="2188" spans="1:6">
      <c r="A2188">
        <v>5000428</v>
      </c>
      <c r="B2188">
        <v>2018</v>
      </c>
      <c r="C2188" s="10" t="s">
        <v>236</v>
      </c>
      <c r="D2188" s="15">
        <v>258519</v>
      </c>
      <c r="E2188">
        <f>IFERROR(VLOOKUP(C2188,'LEAID Match'!$A$2:$B$214,2,FALSE),"")</f>
        <v>5000428</v>
      </c>
      <c r="F2188">
        <f t="shared" si="23"/>
        <v>8</v>
      </c>
    </row>
    <row r="2189" spans="1:6">
      <c r="A2189">
        <v>5000428</v>
      </c>
      <c r="B2189">
        <v>2019</v>
      </c>
      <c r="C2189" s="10" t="s">
        <v>236</v>
      </c>
      <c r="D2189" s="15">
        <v>240975</v>
      </c>
      <c r="E2189">
        <f>IFERROR(VLOOKUP(C2189,'LEAID Match'!$A$2:$B$214,2,FALSE),"")</f>
        <v>5000428</v>
      </c>
      <c r="F2189">
        <f t="shared" si="23"/>
        <v>8</v>
      </c>
    </row>
    <row r="2190" spans="1:6">
      <c r="A2190">
        <v>5000428</v>
      </c>
      <c r="B2190">
        <v>2020</v>
      </c>
      <c r="C2190" s="10" t="s">
        <v>236</v>
      </c>
      <c r="D2190" s="15">
        <v>318391</v>
      </c>
      <c r="E2190">
        <f>IFERROR(VLOOKUP(C2190,'LEAID Match'!$A$2:$B$214,2,FALSE),"")</f>
        <v>5000428</v>
      </c>
      <c r="F2190">
        <f t="shared" si="23"/>
        <v>8</v>
      </c>
    </row>
    <row r="2191" spans="1:6">
      <c r="A2191">
        <v>5000428</v>
      </c>
      <c r="B2191">
        <v>2021</v>
      </c>
      <c r="C2191" s="10" t="s">
        <v>236</v>
      </c>
      <c r="D2191" s="15">
        <v>332938</v>
      </c>
      <c r="E2191">
        <f>IFERROR(VLOOKUP(C2191,'LEAID Match'!$A$2:$B$214,2,FALSE),"")</f>
        <v>5000428</v>
      </c>
      <c r="F2191">
        <f t="shared" si="23"/>
        <v>8</v>
      </c>
    </row>
    <row r="2192" spans="1:6">
      <c r="A2192">
        <v>5000428</v>
      </c>
      <c r="B2192">
        <v>2022</v>
      </c>
      <c r="C2192" s="10" t="s">
        <v>236</v>
      </c>
      <c r="D2192" s="15">
        <v>901952</v>
      </c>
      <c r="E2192">
        <f>IFERROR(VLOOKUP(C2192,'LEAID Match'!$A$2:$B$214,2,FALSE),"")</f>
        <v>5000428</v>
      </c>
      <c r="F2192">
        <f t="shared" si="23"/>
        <v>8</v>
      </c>
    </row>
    <row r="2193" spans="1:6">
      <c r="A2193">
        <v>5000386</v>
      </c>
      <c r="B2193">
        <v>2015</v>
      </c>
      <c r="C2193" s="10" t="s">
        <v>291</v>
      </c>
      <c r="D2193" s="15">
        <v>224534.33</v>
      </c>
      <c r="E2193">
        <f>IFERROR(VLOOKUP(C2193,'LEAID Match'!$A$2:$B$214,2,FALSE),"")</f>
        <v>5000386</v>
      </c>
      <c r="F2193">
        <f t="shared" si="23"/>
        <v>8</v>
      </c>
    </row>
    <row r="2194" spans="1:6">
      <c r="A2194">
        <v>5000386</v>
      </c>
      <c r="B2194">
        <v>2016</v>
      </c>
      <c r="C2194" s="10" t="s">
        <v>291</v>
      </c>
      <c r="D2194" s="15">
        <v>211383.9</v>
      </c>
      <c r="E2194">
        <f>IFERROR(VLOOKUP(C2194,'LEAID Match'!$A$2:$B$214,2,FALSE),"")</f>
        <v>5000386</v>
      </c>
      <c r="F2194">
        <f t="shared" si="23"/>
        <v>8</v>
      </c>
    </row>
    <row r="2195" spans="1:6">
      <c r="A2195">
        <v>5000386</v>
      </c>
      <c r="B2195">
        <v>2017</v>
      </c>
      <c r="C2195" s="10" t="s">
        <v>291</v>
      </c>
      <c r="D2195" s="15">
        <v>209898</v>
      </c>
      <c r="E2195">
        <f>IFERROR(VLOOKUP(C2195,'LEAID Match'!$A$2:$B$214,2,FALSE),"")</f>
        <v>5000386</v>
      </c>
      <c r="F2195">
        <f t="shared" si="23"/>
        <v>8</v>
      </c>
    </row>
    <row r="2196" spans="1:6">
      <c r="A2196">
        <v>5000386</v>
      </c>
      <c r="B2196">
        <v>2018</v>
      </c>
      <c r="C2196" s="10" t="s">
        <v>291</v>
      </c>
      <c r="D2196" s="15">
        <v>305681</v>
      </c>
      <c r="E2196">
        <f>IFERROR(VLOOKUP(C2196,'LEAID Match'!$A$2:$B$214,2,FALSE),"")</f>
        <v>5000386</v>
      </c>
      <c r="F2196">
        <f t="shared" si="23"/>
        <v>8</v>
      </c>
    </row>
    <row r="2197" spans="1:6">
      <c r="A2197">
        <v>5000386</v>
      </c>
      <c r="B2197">
        <v>2019</v>
      </c>
      <c r="C2197" s="10" t="s">
        <v>291</v>
      </c>
      <c r="D2197" s="15">
        <v>0</v>
      </c>
      <c r="E2197">
        <f>IFERROR(VLOOKUP(C2197,'LEAID Match'!$A$2:$B$214,2,FALSE),"")</f>
        <v>5000386</v>
      </c>
      <c r="F2197">
        <f t="shared" si="23"/>
        <v>8</v>
      </c>
    </row>
    <row r="2198" spans="1:6">
      <c r="A2198">
        <v>5000386</v>
      </c>
      <c r="B2198">
        <v>2020</v>
      </c>
      <c r="C2198" s="10" t="s">
        <v>291</v>
      </c>
      <c r="D2198" s="15">
        <v>0</v>
      </c>
      <c r="E2198">
        <f>IFERROR(VLOOKUP(C2198,'LEAID Match'!$A$2:$B$214,2,FALSE),"")</f>
        <v>5000386</v>
      </c>
      <c r="F2198">
        <f t="shared" si="23"/>
        <v>8</v>
      </c>
    </row>
    <row r="2199" spans="1:6">
      <c r="A2199">
        <v>5000386</v>
      </c>
      <c r="B2199">
        <v>2021</v>
      </c>
      <c r="C2199" s="10" t="s">
        <v>291</v>
      </c>
      <c r="D2199" s="15">
        <v>0</v>
      </c>
      <c r="E2199">
        <f>IFERROR(VLOOKUP(C2199,'LEAID Match'!$A$2:$B$214,2,FALSE),"")</f>
        <v>5000386</v>
      </c>
      <c r="F2199">
        <f t="shared" si="23"/>
        <v>8</v>
      </c>
    </row>
    <row r="2200" spans="1:6">
      <c r="A2200">
        <v>5000386</v>
      </c>
      <c r="B2200">
        <v>2022</v>
      </c>
      <c r="C2200" s="10" t="s">
        <v>291</v>
      </c>
      <c r="D2200" s="15">
        <v>0</v>
      </c>
      <c r="E2200">
        <f>IFERROR(VLOOKUP(C2200,'LEAID Match'!$A$2:$B$214,2,FALSE),"")</f>
        <v>5000386</v>
      </c>
      <c r="F2200">
        <f t="shared" si="23"/>
        <v>8</v>
      </c>
    </row>
    <row r="2201" spans="1:6">
      <c r="A2201">
        <v>5000385</v>
      </c>
      <c r="B2201">
        <v>2015</v>
      </c>
      <c r="C2201" s="10" t="s">
        <v>251</v>
      </c>
      <c r="D2201" s="15">
        <v>92814.39</v>
      </c>
      <c r="E2201">
        <f>IFERROR(VLOOKUP(C2201,'LEAID Match'!$A$2:$B$214,2,FALSE),"")</f>
        <v>5000385</v>
      </c>
      <c r="F2201">
        <f t="shared" si="23"/>
        <v>8</v>
      </c>
    </row>
    <row r="2202" spans="1:6">
      <c r="A2202">
        <v>5000385</v>
      </c>
      <c r="B2202">
        <v>2016</v>
      </c>
      <c r="C2202" s="10" t="s">
        <v>251</v>
      </c>
      <c r="D2202" s="15">
        <v>237621.96</v>
      </c>
      <c r="E2202">
        <f>IFERROR(VLOOKUP(C2202,'LEAID Match'!$A$2:$B$214,2,FALSE),"")</f>
        <v>5000385</v>
      </c>
      <c r="F2202">
        <f t="shared" si="23"/>
        <v>8</v>
      </c>
    </row>
    <row r="2203" spans="1:6">
      <c r="A2203">
        <v>5000385</v>
      </c>
      <c r="B2203">
        <v>2017</v>
      </c>
      <c r="C2203" s="10" t="s">
        <v>251</v>
      </c>
      <c r="D2203" s="15">
        <v>258432</v>
      </c>
      <c r="E2203">
        <f>IFERROR(VLOOKUP(C2203,'LEAID Match'!$A$2:$B$214,2,FALSE),"")</f>
        <v>5000385</v>
      </c>
      <c r="F2203">
        <f t="shared" si="23"/>
        <v>8</v>
      </c>
    </row>
    <row r="2204" spans="1:6">
      <c r="A2204">
        <v>5000385</v>
      </c>
      <c r="B2204">
        <v>2018</v>
      </c>
      <c r="C2204" s="10" t="s">
        <v>251</v>
      </c>
      <c r="D2204" s="15">
        <v>342247</v>
      </c>
      <c r="E2204">
        <f>IFERROR(VLOOKUP(C2204,'LEAID Match'!$A$2:$B$214,2,FALSE),"")</f>
        <v>5000385</v>
      </c>
      <c r="F2204">
        <f t="shared" si="23"/>
        <v>8</v>
      </c>
    </row>
    <row r="2205" spans="1:6">
      <c r="A2205">
        <v>5000385</v>
      </c>
      <c r="B2205">
        <v>2019</v>
      </c>
      <c r="C2205" s="10" t="s">
        <v>251</v>
      </c>
      <c r="D2205" s="15">
        <v>354199</v>
      </c>
      <c r="E2205">
        <f>IFERROR(VLOOKUP(C2205,'LEAID Match'!$A$2:$B$214,2,FALSE),"")</f>
        <v>5000385</v>
      </c>
      <c r="F2205">
        <f t="shared" si="23"/>
        <v>8</v>
      </c>
    </row>
    <row r="2206" spans="1:6">
      <c r="A2206">
        <v>5000385</v>
      </c>
      <c r="B2206">
        <v>2020</v>
      </c>
      <c r="C2206" s="10" t="s">
        <v>251</v>
      </c>
      <c r="D2206" s="15">
        <v>388665</v>
      </c>
      <c r="E2206">
        <f>IFERROR(VLOOKUP(C2206,'LEAID Match'!$A$2:$B$214,2,FALSE),"")</f>
        <v>5000385</v>
      </c>
      <c r="F2206">
        <f t="shared" si="23"/>
        <v>8</v>
      </c>
    </row>
    <row r="2207" spans="1:6">
      <c r="A2207">
        <v>5000385</v>
      </c>
      <c r="B2207">
        <v>2021</v>
      </c>
      <c r="C2207" s="10" t="s">
        <v>251</v>
      </c>
      <c r="D2207" s="15">
        <v>367202</v>
      </c>
      <c r="E2207">
        <f>IFERROR(VLOOKUP(C2207,'LEAID Match'!$A$2:$B$214,2,FALSE),"")</f>
        <v>5000385</v>
      </c>
      <c r="F2207">
        <f t="shared" si="23"/>
        <v>8</v>
      </c>
    </row>
    <row r="2208" spans="1:6">
      <c r="A2208">
        <v>5000385</v>
      </c>
      <c r="B2208">
        <v>2022</v>
      </c>
      <c r="C2208" s="10" t="s">
        <v>251</v>
      </c>
      <c r="D2208" s="15">
        <v>979412</v>
      </c>
      <c r="E2208">
        <f>IFERROR(VLOOKUP(C2208,'LEAID Match'!$A$2:$B$214,2,FALSE),"")</f>
        <v>5000385</v>
      </c>
      <c r="F2208">
        <f t="shared" si="23"/>
        <v>8</v>
      </c>
    </row>
    <row r="2209" spans="1:6">
      <c r="A2209">
        <v>5000371</v>
      </c>
      <c r="B2209">
        <v>2015</v>
      </c>
      <c r="C2209" s="10" t="s">
        <v>290</v>
      </c>
      <c r="D2209" s="15">
        <v>147570.09</v>
      </c>
      <c r="E2209">
        <f>IFERROR(VLOOKUP(C2209,'LEAID Match'!$A$2:$B$214,2,FALSE),"")</f>
        <v>5000371</v>
      </c>
      <c r="F2209">
        <f t="shared" si="23"/>
        <v>8</v>
      </c>
    </row>
    <row r="2210" spans="1:6">
      <c r="A2210">
        <v>5000371</v>
      </c>
      <c r="B2210">
        <v>2016</v>
      </c>
      <c r="C2210" s="10" t="s">
        <v>290</v>
      </c>
      <c r="D2210" s="15">
        <v>153546.60999999999</v>
      </c>
      <c r="E2210">
        <f>IFERROR(VLOOKUP(C2210,'LEAID Match'!$A$2:$B$214,2,FALSE),"")</f>
        <v>5000371</v>
      </c>
      <c r="F2210">
        <f t="shared" si="23"/>
        <v>8</v>
      </c>
    </row>
    <row r="2211" spans="1:6">
      <c r="A2211">
        <v>5000371</v>
      </c>
      <c r="B2211">
        <v>2017</v>
      </c>
      <c r="C2211" s="10" t="s">
        <v>290</v>
      </c>
      <c r="D2211" s="15">
        <v>170114</v>
      </c>
      <c r="E2211">
        <f>IFERROR(VLOOKUP(C2211,'LEAID Match'!$A$2:$B$214,2,FALSE),"")</f>
        <v>5000371</v>
      </c>
      <c r="F2211">
        <f t="shared" si="23"/>
        <v>8</v>
      </c>
    </row>
    <row r="2212" spans="1:6">
      <c r="A2212">
        <v>5000371</v>
      </c>
      <c r="B2212">
        <v>2018</v>
      </c>
      <c r="C2212" s="10" t="s">
        <v>290</v>
      </c>
      <c r="D2212" s="15">
        <v>226888</v>
      </c>
      <c r="E2212">
        <f>IFERROR(VLOOKUP(C2212,'LEAID Match'!$A$2:$B$214,2,FALSE),"")</f>
        <v>5000371</v>
      </c>
      <c r="F2212">
        <f t="shared" si="23"/>
        <v>8</v>
      </c>
    </row>
    <row r="2213" spans="1:6">
      <c r="A2213">
        <v>5000371</v>
      </c>
      <c r="B2213">
        <v>2019</v>
      </c>
      <c r="C2213" s="10" t="s">
        <v>290</v>
      </c>
      <c r="D2213" s="15">
        <v>242416</v>
      </c>
      <c r="E2213">
        <f>IFERROR(VLOOKUP(C2213,'LEAID Match'!$A$2:$B$214,2,FALSE),"")</f>
        <v>5000371</v>
      </c>
      <c r="F2213">
        <f t="shared" si="23"/>
        <v>8</v>
      </c>
    </row>
    <row r="2214" spans="1:6">
      <c r="A2214">
        <v>5000371</v>
      </c>
      <c r="B2214">
        <v>2020</v>
      </c>
      <c r="C2214" s="10" t="s">
        <v>290</v>
      </c>
      <c r="D2214" s="15">
        <v>263759</v>
      </c>
      <c r="E2214">
        <f>IFERROR(VLOOKUP(C2214,'LEAID Match'!$A$2:$B$214,2,FALSE),"")</f>
        <v>5000371</v>
      </c>
      <c r="F2214">
        <f t="shared" si="23"/>
        <v>8</v>
      </c>
    </row>
    <row r="2215" spans="1:6">
      <c r="A2215">
        <v>5000371</v>
      </c>
      <c r="B2215">
        <v>2021</v>
      </c>
      <c r="C2215" s="10" t="s">
        <v>290</v>
      </c>
      <c r="D2215" s="15">
        <v>272300</v>
      </c>
      <c r="E2215">
        <f>IFERROR(VLOOKUP(C2215,'LEAID Match'!$A$2:$B$214,2,FALSE),"")</f>
        <v>5000371</v>
      </c>
      <c r="F2215">
        <f t="shared" si="23"/>
        <v>8</v>
      </c>
    </row>
    <row r="2216" spans="1:6">
      <c r="A2216">
        <v>5000371</v>
      </c>
      <c r="B2216">
        <v>2022</v>
      </c>
      <c r="C2216" s="10" t="s">
        <v>290</v>
      </c>
      <c r="D2216" s="15">
        <v>915641</v>
      </c>
      <c r="E2216">
        <f>IFERROR(VLOOKUP(C2216,'LEAID Match'!$A$2:$B$214,2,FALSE),"")</f>
        <v>5000371</v>
      </c>
      <c r="F2216">
        <f t="shared" si="23"/>
        <v>8</v>
      </c>
    </row>
    <row r="2217" spans="1:6">
      <c r="A2217">
        <v>5000024</v>
      </c>
      <c r="B2217">
        <v>2015</v>
      </c>
      <c r="C2217" s="10" t="s">
        <v>286</v>
      </c>
      <c r="D2217" s="15">
        <v>300606.21999999997</v>
      </c>
      <c r="E2217">
        <f>IFERROR(VLOOKUP(C2217,'LEAID Match'!$A$2:$B$214,2,FALSE),"")</f>
        <v>5000024</v>
      </c>
      <c r="F2217">
        <f t="shared" si="23"/>
        <v>8</v>
      </c>
    </row>
    <row r="2218" spans="1:6">
      <c r="A2218">
        <v>5000024</v>
      </c>
      <c r="B2218">
        <v>2016</v>
      </c>
      <c r="C2218" s="10" t="s">
        <v>286</v>
      </c>
      <c r="D2218" s="15">
        <v>292469.14</v>
      </c>
      <c r="E2218">
        <f>IFERROR(VLOOKUP(C2218,'LEAID Match'!$A$2:$B$214,2,FALSE),"")</f>
        <v>5000024</v>
      </c>
      <c r="F2218">
        <f t="shared" si="23"/>
        <v>8</v>
      </c>
    </row>
    <row r="2219" spans="1:6">
      <c r="A2219">
        <v>5000024</v>
      </c>
      <c r="B2219">
        <v>2017</v>
      </c>
      <c r="C2219" s="10" t="s">
        <v>286</v>
      </c>
      <c r="D2219" s="15">
        <v>324748</v>
      </c>
      <c r="E2219">
        <f>IFERROR(VLOOKUP(C2219,'LEAID Match'!$A$2:$B$214,2,FALSE),"")</f>
        <v>5000024</v>
      </c>
      <c r="F2219">
        <f t="shared" si="23"/>
        <v>8</v>
      </c>
    </row>
    <row r="2220" spans="1:6">
      <c r="A2220">
        <v>5000024</v>
      </c>
      <c r="B2220">
        <v>2018</v>
      </c>
      <c r="C2220" s="10" t="s">
        <v>286</v>
      </c>
      <c r="D2220" s="15">
        <v>457033</v>
      </c>
      <c r="E2220">
        <f>IFERROR(VLOOKUP(C2220,'LEAID Match'!$A$2:$B$214,2,FALSE),"")</f>
        <v>5000024</v>
      </c>
      <c r="F2220">
        <f t="shared" si="23"/>
        <v>8</v>
      </c>
    </row>
    <row r="2221" spans="1:6">
      <c r="A2221">
        <v>5000024</v>
      </c>
      <c r="B2221">
        <v>2019</v>
      </c>
      <c r="C2221" s="10" t="s">
        <v>286</v>
      </c>
      <c r="D2221" s="15">
        <v>438216</v>
      </c>
      <c r="E2221">
        <f>IFERROR(VLOOKUP(C2221,'LEAID Match'!$A$2:$B$214,2,FALSE),"")</f>
        <v>5000024</v>
      </c>
      <c r="F2221">
        <f t="shared" si="23"/>
        <v>8</v>
      </c>
    </row>
    <row r="2222" spans="1:6">
      <c r="A2222">
        <v>5000024</v>
      </c>
      <c r="B2222">
        <v>2020</v>
      </c>
      <c r="C2222" s="10" t="s">
        <v>286</v>
      </c>
      <c r="D2222" s="15">
        <v>478444</v>
      </c>
      <c r="E2222">
        <f>IFERROR(VLOOKUP(C2222,'LEAID Match'!$A$2:$B$214,2,FALSE),"")</f>
        <v>5000024</v>
      </c>
      <c r="F2222">
        <f t="shared" si="23"/>
        <v>8</v>
      </c>
    </row>
    <row r="2223" spans="1:6">
      <c r="A2223">
        <v>5000024</v>
      </c>
      <c r="B2223">
        <v>2021</v>
      </c>
      <c r="C2223" s="10" t="s">
        <v>286</v>
      </c>
      <c r="D2223" s="15">
        <v>541069</v>
      </c>
      <c r="E2223">
        <f>IFERROR(VLOOKUP(C2223,'LEAID Match'!$A$2:$B$214,2,FALSE),"")</f>
        <v>5000024</v>
      </c>
      <c r="F2223">
        <f t="shared" si="23"/>
        <v>8</v>
      </c>
    </row>
    <row r="2224" spans="1:6">
      <c r="A2224">
        <v>5000024</v>
      </c>
      <c r="B2224">
        <v>2022</v>
      </c>
      <c r="C2224" s="10" t="s">
        <v>286</v>
      </c>
      <c r="D2224" s="15">
        <v>1339223</v>
      </c>
      <c r="E2224">
        <f>IFERROR(VLOOKUP(C2224,'LEAID Match'!$A$2:$B$214,2,FALSE),"")</f>
        <v>5000024</v>
      </c>
      <c r="F2224">
        <f t="shared" si="23"/>
        <v>8</v>
      </c>
    </row>
    <row r="2225" spans="1:6">
      <c r="A2225">
        <v>5000022</v>
      </c>
      <c r="B2225">
        <v>2015</v>
      </c>
      <c r="C2225" s="10" t="s">
        <v>288</v>
      </c>
      <c r="D2225" s="15">
        <v>146012.18</v>
      </c>
      <c r="E2225">
        <f>IFERROR(VLOOKUP(C2225,'LEAID Match'!$A$2:$B$214,2,FALSE),"")</f>
        <v>5000022</v>
      </c>
      <c r="F2225">
        <f t="shared" si="23"/>
        <v>8</v>
      </c>
    </row>
    <row r="2226" spans="1:6">
      <c r="A2226">
        <v>5000022</v>
      </c>
      <c r="B2226">
        <v>2016</v>
      </c>
      <c r="C2226" s="10" t="s">
        <v>288</v>
      </c>
      <c r="D2226" s="15">
        <v>147169.51</v>
      </c>
      <c r="E2226">
        <f>IFERROR(VLOOKUP(C2226,'LEAID Match'!$A$2:$B$214,2,FALSE),"")</f>
        <v>5000022</v>
      </c>
      <c r="F2226">
        <f t="shared" si="23"/>
        <v>8</v>
      </c>
    </row>
    <row r="2227" spans="1:6">
      <c r="A2227">
        <v>5000022</v>
      </c>
      <c r="B2227">
        <v>2017</v>
      </c>
      <c r="C2227" s="10" t="s">
        <v>288</v>
      </c>
      <c r="D2227" s="15">
        <v>134511</v>
      </c>
      <c r="E2227">
        <f>IFERROR(VLOOKUP(C2227,'LEAID Match'!$A$2:$B$214,2,FALSE),"")</f>
        <v>5000022</v>
      </c>
      <c r="F2227">
        <f t="shared" si="23"/>
        <v>8</v>
      </c>
    </row>
    <row r="2228" spans="1:6">
      <c r="A2228">
        <v>5000022</v>
      </c>
      <c r="B2228">
        <v>2018</v>
      </c>
      <c r="C2228" s="10" t="s">
        <v>288</v>
      </c>
      <c r="D2228" s="15">
        <v>197374</v>
      </c>
      <c r="E2228">
        <f>IFERROR(VLOOKUP(C2228,'LEAID Match'!$A$2:$B$214,2,FALSE),"")</f>
        <v>5000022</v>
      </c>
      <c r="F2228">
        <f t="shared" si="23"/>
        <v>8</v>
      </c>
    </row>
    <row r="2229" spans="1:6">
      <c r="A2229">
        <v>5000022</v>
      </c>
      <c r="B2229">
        <v>2019</v>
      </c>
      <c r="C2229" s="10" t="s">
        <v>288</v>
      </c>
      <c r="D2229" s="15">
        <v>213030</v>
      </c>
      <c r="E2229">
        <f>IFERROR(VLOOKUP(C2229,'LEAID Match'!$A$2:$B$214,2,FALSE),"")</f>
        <v>5000022</v>
      </c>
      <c r="F2229">
        <f t="shared" si="23"/>
        <v>8</v>
      </c>
    </row>
    <row r="2230" spans="1:6">
      <c r="A2230">
        <v>5000022</v>
      </c>
      <c r="B2230">
        <v>2020</v>
      </c>
      <c r="C2230" s="10" t="s">
        <v>288</v>
      </c>
      <c r="D2230" s="15">
        <v>217054</v>
      </c>
      <c r="E2230">
        <f>IFERROR(VLOOKUP(C2230,'LEAID Match'!$A$2:$B$214,2,FALSE),"")</f>
        <v>5000022</v>
      </c>
      <c r="F2230">
        <f t="shared" si="23"/>
        <v>8</v>
      </c>
    </row>
    <row r="2231" spans="1:6">
      <c r="A2231">
        <v>5000022</v>
      </c>
      <c r="B2231">
        <v>2021</v>
      </c>
      <c r="C2231" s="10" t="s">
        <v>288</v>
      </c>
      <c r="D2231" s="15">
        <v>205980</v>
      </c>
      <c r="E2231">
        <f>IFERROR(VLOOKUP(C2231,'LEAID Match'!$A$2:$B$214,2,FALSE),"")</f>
        <v>5000022</v>
      </c>
      <c r="F2231">
        <f t="shared" si="23"/>
        <v>8</v>
      </c>
    </row>
    <row r="2232" spans="1:6">
      <c r="A2232">
        <v>5000022</v>
      </c>
      <c r="B2232">
        <v>2022</v>
      </c>
      <c r="C2232" s="10" t="s">
        <v>288</v>
      </c>
      <c r="D2232" s="15">
        <v>502197</v>
      </c>
      <c r="E2232">
        <f>IFERROR(VLOOKUP(C2232,'LEAID Match'!$A$2:$B$214,2,FALSE),"")</f>
        <v>5000022</v>
      </c>
      <c r="F2232">
        <f t="shared" si="23"/>
        <v>8</v>
      </c>
    </row>
    <row r="2233" spans="1:6">
      <c r="A2233">
        <v>5000009</v>
      </c>
      <c r="B2233">
        <v>2015</v>
      </c>
      <c r="C2233" s="10" t="s">
        <v>115</v>
      </c>
      <c r="D2233" s="15">
        <v>183812.69</v>
      </c>
      <c r="E2233">
        <f>IFERROR(VLOOKUP(C2233,'LEAID Match'!$A$2:$B$214,2,FALSE),"")</f>
        <v>5000009</v>
      </c>
      <c r="F2233">
        <f t="shared" si="23"/>
        <v>8</v>
      </c>
    </row>
    <row r="2234" spans="1:6">
      <c r="A2234">
        <v>5000009</v>
      </c>
      <c r="B2234">
        <v>2016</v>
      </c>
      <c r="C2234" s="10" t="s">
        <v>115</v>
      </c>
      <c r="D2234" s="15">
        <v>162721.96</v>
      </c>
      <c r="E2234">
        <f>IFERROR(VLOOKUP(C2234,'LEAID Match'!$A$2:$B$214,2,FALSE),"")</f>
        <v>5000009</v>
      </c>
      <c r="F2234">
        <f t="shared" si="23"/>
        <v>8</v>
      </c>
    </row>
    <row r="2235" spans="1:6">
      <c r="A2235">
        <v>5000009</v>
      </c>
      <c r="B2235">
        <v>2017</v>
      </c>
      <c r="C2235" s="10" t="s">
        <v>115</v>
      </c>
      <c r="D2235" s="15">
        <v>134888</v>
      </c>
      <c r="E2235">
        <f>IFERROR(VLOOKUP(C2235,'LEAID Match'!$A$2:$B$214,2,FALSE),"")</f>
        <v>5000009</v>
      </c>
      <c r="F2235">
        <f t="shared" si="23"/>
        <v>8</v>
      </c>
    </row>
    <row r="2236" spans="1:6">
      <c r="A2236">
        <v>5000009</v>
      </c>
      <c r="B2236">
        <v>2018</v>
      </c>
      <c r="C2236" s="10" t="s">
        <v>115</v>
      </c>
      <c r="D2236" s="15">
        <v>187449</v>
      </c>
      <c r="E2236">
        <f>IFERROR(VLOOKUP(C2236,'LEAID Match'!$A$2:$B$214,2,FALSE),"")</f>
        <v>5000009</v>
      </c>
      <c r="F2236">
        <f t="shared" si="23"/>
        <v>8</v>
      </c>
    </row>
    <row r="2237" spans="1:6">
      <c r="A2237">
        <v>5000009</v>
      </c>
      <c r="B2237">
        <v>2019</v>
      </c>
      <c r="C2237" s="10" t="s">
        <v>115</v>
      </c>
      <c r="D2237" s="15">
        <v>0</v>
      </c>
      <c r="E2237">
        <f>IFERROR(VLOOKUP(C2237,'LEAID Match'!$A$2:$B$214,2,FALSE),"")</f>
        <v>5000009</v>
      </c>
      <c r="F2237">
        <f t="shared" si="23"/>
        <v>8</v>
      </c>
    </row>
    <row r="2238" spans="1:6">
      <c r="A2238">
        <v>5000009</v>
      </c>
      <c r="B2238">
        <v>2020</v>
      </c>
      <c r="C2238" s="10" t="s">
        <v>115</v>
      </c>
      <c r="D2238" s="15">
        <v>0</v>
      </c>
      <c r="E2238">
        <f>IFERROR(VLOOKUP(C2238,'LEAID Match'!$A$2:$B$214,2,FALSE),"")</f>
        <v>5000009</v>
      </c>
      <c r="F2238">
        <f t="shared" si="23"/>
        <v>8</v>
      </c>
    </row>
    <row r="2239" spans="1:6">
      <c r="A2239">
        <v>5000009</v>
      </c>
      <c r="B2239">
        <v>2021</v>
      </c>
      <c r="C2239" s="10" t="s">
        <v>115</v>
      </c>
      <c r="D2239" s="15">
        <v>0</v>
      </c>
      <c r="E2239">
        <f>IFERROR(VLOOKUP(C2239,'LEAID Match'!$A$2:$B$214,2,FALSE),"")</f>
        <v>5000009</v>
      </c>
      <c r="F2239">
        <f t="shared" si="23"/>
        <v>8</v>
      </c>
    </row>
    <row r="2240" spans="1:6">
      <c r="A2240">
        <v>5000009</v>
      </c>
      <c r="B2240">
        <v>2022</v>
      </c>
      <c r="C2240" s="10" t="s">
        <v>115</v>
      </c>
      <c r="D2240" s="15">
        <v>0</v>
      </c>
      <c r="E2240">
        <f>IFERROR(VLOOKUP(C2240,'LEAID Match'!$A$2:$B$214,2,FALSE),"")</f>
        <v>5000009</v>
      </c>
      <c r="F2240">
        <f t="shared" si="23"/>
        <v>8</v>
      </c>
    </row>
    <row r="2241" spans="1:6">
      <c r="A2241">
        <v>5000007</v>
      </c>
      <c r="B2241">
        <v>2015</v>
      </c>
      <c r="C2241" s="10" t="s">
        <v>285</v>
      </c>
      <c r="D2241" s="15">
        <v>36920.82</v>
      </c>
      <c r="E2241">
        <f>IFERROR(VLOOKUP(C2241,'LEAID Match'!$A$2:$B$214,2,FALSE),"")</f>
        <v>5000007</v>
      </c>
      <c r="F2241">
        <f t="shared" si="23"/>
        <v>8</v>
      </c>
    </row>
    <row r="2242" spans="1:6">
      <c r="A2242">
        <v>5000007</v>
      </c>
      <c r="B2242">
        <v>2016</v>
      </c>
      <c r="C2242" s="10" t="s">
        <v>285</v>
      </c>
      <c r="D2242" s="15">
        <v>47090.28</v>
      </c>
      <c r="E2242">
        <f>IFERROR(VLOOKUP(C2242,'LEAID Match'!$A$2:$B$214,2,FALSE),"")</f>
        <v>5000007</v>
      </c>
      <c r="F2242">
        <f t="shared" ref="F2242:F2272" si="24">COUNTIF($A$705:$A$2272,A2242)</f>
        <v>8</v>
      </c>
    </row>
    <row r="2243" spans="1:6">
      <c r="A2243">
        <v>5000007</v>
      </c>
      <c r="B2243">
        <v>2017</v>
      </c>
      <c r="C2243" s="10" t="s">
        <v>285</v>
      </c>
      <c r="D2243" s="15">
        <v>394693</v>
      </c>
      <c r="E2243">
        <f>IFERROR(VLOOKUP(C2243,'LEAID Match'!$A$2:$B$214,2,FALSE),"")</f>
        <v>5000007</v>
      </c>
      <c r="F2243">
        <f t="shared" si="24"/>
        <v>8</v>
      </c>
    </row>
    <row r="2244" spans="1:6">
      <c r="A2244">
        <v>5000007</v>
      </c>
      <c r="B2244">
        <v>2018</v>
      </c>
      <c r="C2244" s="10" t="s">
        <v>285</v>
      </c>
      <c r="D2244" s="15">
        <v>591490</v>
      </c>
      <c r="E2244">
        <f>IFERROR(VLOOKUP(C2244,'LEAID Match'!$A$2:$B$214,2,FALSE),"")</f>
        <v>5000007</v>
      </c>
      <c r="F2244">
        <f t="shared" si="24"/>
        <v>8</v>
      </c>
    </row>
    <row r="2245" spans="1:6">
      <c r="A2245">
        <v>5000007</v>
      </c>
      <c r="B2245">
        <v>2019</v>
      </c>
      <c r="C2245" s="10" t="s">
        <v>285</v>
      </c>
      <c r="D2245" s="15">
        <v>645072</v>
      </c>
      <c r="E2245">
        <f>IFERROR(VLOOKUP(C2245,'LEAID Match'!$A$2:$B$214,2,FALSE),"")</f>
        <v>5000007</v>
      </c>
      <c r="F2245">
        <f t="shared" si="24"/>
        <v>8</v>
      </c>
    </row>
    <row r="2246" spans="1:6">
      <c r="A2246">
        <v>5000007</v>
      </c>
      <c r="B2246">
        <v>2020</v>
      </c>
      <c r="C2246" s="10" t="s">
        <v>285</v>
      </c>
      <c r="D2246" s="15">
        <v>0</v>
      </c>
      <c r="E2246">
        <f>IFERROR(VLOOKUP(C2246,'LEAID Match'!$A$2:$B$214,2,FALSE),"")</f>
        <v>5000007</v>
      </c>
      <c r="F2246">
        <f t="shared" si="24"/>
        <v>8</v>
      </c>
    </row>
    <row r="2247" spans="1:6">
      <c r="A2247">
        <v>5000007</v>
      </c>
      <c r="B2247">
        <v>2021</v>
      </c>
      <c r="C2247" s="10" t="s">
        <v>285</v>
      </c>
      <c r="D2247" s="15">
        <v>0</v>
      </c>
      <c r="E2247">
        <f>IFERROR(VLOOKUP(C2247,'LEAID Match'!$A$2:$B$214,2,FALSE),"")</f>
        <v>5000007</v>
      </c>
      <c r="F2247">
        <f t="shared" si="24"/>
        <v>8</v>
      </c>
    </row>
    <row r="2248" spans="1:6">
      <c r="A2248">
        <v>5000007</v>
      </c>
      <c r="B2248">
        <v>2022</v>
      </c>
      <c r="C2248" s="10" t="s">
        <v>285</v>
      </c>
      <c r="D2248" s="15">
        <v>0</v>
      </c>
      <c r="E2248">
        <f>IFERROR(VLOOKUP(C2248,'LEAID Match'!$A$2:$B$214,2,FALSE),"")</f>
        <v>5000007</v>
      </c>
      <c r="F2248">
        <f t="shared" si="24"/>
        <v>8</v>
      </c>
    </row>
    <row r="2249" spans="1:6">
      <c r="A2249">
        <v>5000003</v>
      </c>
      <c r="B2249">
        <v>2015</v>
      </c>
      <c r="C2249" s="10" t="s">
        <v>66</v>
      </c>
      <c r="D2249" s="15">
        <v>51174.76</v>
      </c>
      <c r="E2249">
        <f>IFERROR(VLOOKUP(C2249,'LEAID Match'!$A$2:$B$214,2,FALSE),"")</f>
        <v>5000003</v>
      </c>
      <c r="F2249">
        <f t="shared" si="24"/>
        <v>8</v>
      </c>
    </row>
    <row r="2250" spans="1:6">
      <c r="A2250">
        <v>5000003</v>
      </c>
      <c r="B2250">
        <v>2016</v>
      </c>
      <c r="C2250" s="10" t="s">
        <v>66</v>
      </c>
      <c r="D2250" s="15">
        <v>49748.63</v>
      </c>
      <c r="E2250">
        <f>IFERROR(VLOOKUP(C2250,'LEAID Match'!$A$2:$B$214,2,FALSE),"")</f>
        <v>5000003</v>
      </c>
      <c r="F2250">
        <f t="shared" si="24"/>
        <v>8</v>
      </c>
    </row>
    <row r="2251" spans="1:6">
      <c r="A2251">
        <v>5000003</v>
      </c>
      <c r="B2251">
        <v>2017</v>
      </c>
      <c r="C2251" s="10" t="s">
        <v>66</v>
      </c>
      <c r="D2251" s="15">
        <v>53320</v>
      </c>
      <c r="E2251">
        <f>IFERROR(VLOOKUP(C2251,'LEAID Match'!$A$2:$B$214,2,FALSE),"")</f>
        <v>5000003</v>
      </c>
      <c r="F2251">
        <f t="shared" si="24"/>
        <v>8</v>
      </c>
    </row>
    <row r="2252" spans="1:6">
      <c r="A2252">
        <v>5000003</v>
      </c>
      <c r="B2252">
        <v>2018</v>
      </c>
      <c r="C2252" s="10" t="s">
        <v>66</v>
      </c>
      <c r="D2252" s="15">
        <v>74326</v>
      </c>
      <c r="E2252">
        <f>IFERROR(VLOOKUP(C2252,'LEAID Match'!$A$2:$B$214,2,FALSE),"")</f>
        <v>5000003</v>
      </c>
      <c r="F2252">
        <f t="shared" si="24"/>
        <v>8</v>
      </c>
    </row>
    <row r="2253" spans="1:6">
      <c r="A2253">
        <v>5000003</v>
      </c>
      <c r="B2253">
        <v>2019</v>
      </c>
      <c r="C2253" s="10" t="s">
        <v>66</v>
      </c>
      <c r="D2253" s="15">
        <v>73946</v>
      </c>
      <c r="E2253">
        <f>IFERROR(VLOOKUP(C2253,'LEAID Match'!$A$2:$B$214,2,FALSE),"")</f>
        <v>5000003</v>
      </c>
      <c r="F2253">
        <f t="shared" si="24"/>
        <v>8</v>
      </c>
    </row>
    <row r="2254" spans="1:6">
      <c r="A2254">
        <v>5000003</v>
      </c>
      <c r="B2254">
        <v>2020</v>
      </c>
      <c r="C2254" s="10" t="s">
        <v>66</v>
      </c>
      <c r="D2254" s="15">
        <v>0</v>
      </c>
      <c r="E2254">
        <f>IFERROR(VLOOKUP(C2254,'LEAID Match'!$A$2:$B$214,2,FALSE),"")</f>
        <v>5000003</v>
      </c>
      <c r="F2254">
        <f t="shared" si="24"/>
        <v>8</v>
      </c>
    </row>
    <row r="2255" spans="1:6">
      <c r="A2255">
        <v>5000003</v>
      </c>
      <c r="B2255">
        <v>2021</v>
      </c>
      <c r="C2255" s="10" t="s">
        <v>66</v>
      </c>
      <c r="D2255" s="15">
        <v>0</v>
      </c>
      <c r="E2255">
        <f>IFERROR(VLOOKUP(C2255,'LEAID Match'!$A$2:$B$214,2,FALSE),"")</f>
        <v>5000003</v>
      </c>
      <c r="F2255">
        <f t="shared" si="24"/>
        <v>8</v>
      </c>
    </row>
    <row r="2256" spans="1:6">
      <c r="A2256">
        <v>5000003</v>
      </c>
      <c r="B2256">
        <v>2022</v>
      </c>
      <c r="C2256" s="10" t="s">
        <v>66</v>
      </c>
      <c r="D2256" s="15">
        <v>0</v>
      </c>
      <c r="E2256">
        <f>IFERROR(VLOOKUP(C2256,'LEAID Match'!$A$2:$B$214,2,FALSE),"")</f>
        <v>5000003</v>
      </c>
      <c r="F2256">
        <f t="shared" si="24"/>
        <v>8</v>
      </c>
    </row>
    <row r="2257" spans="1:6">
      <c r="A2257">
        <v>5000002</v>
      </c>
      <c r="B2257">
        <v>2015</v>
      </c>
      <c r="C2257" s="10" t="s">
        <v>284</v>
      </c>
      <c r="D2257" s="15">
        <v>618002.4</v>
      </c>
      <c r="E2257">
        <f>IFERROR(VLOOKUP(C2257,'LEAID Match'!$A$2:$B$214,2,FALSE),"")</f>
        <v>5000002</v>
      </c>
      <c r="F2257">
        <f t="shared" si="24"/>
        <v>8</v>
      </c>
    </row>
    <row r="2258" spans="1:6">
      <c r="A2258">
        <v>5000002</v>
      </c>
      <c r="B2258">
        <v>2016</v>
      </c>
      <c r="C2258" s="10" t="s">
        <v>284</v>
      </c>
      <c r="D2258" s="15">
        <v>636050.21</v>
      </c>
      <c r="E2258">
        <f>IFERROR(VLOOKUP(C2258,'LEAID Match'!$A$2:$B$214,2,FALSE),"")</f>
        <v>5000002</v>
      </c>
      <c r="F2258">
        <f t="shared" si="24"/>
        <v>8</v>
      </c>
    </row>
    <row r="2259" spans="1:6">
      <c r="A2259">
        <v>5000002</v>
      </c>
      <c r="B2259">
        <v>2017</v>
      </c>
      <c r="C2259" s="10" t="s">
        <v>284</v>
      </c>
      <c r="D2259" s="15">
        <v>565670</v>
      </c>
      <c r="E2259">
        <f>IFERROR(VLOOKUP(C2259,'LEAID Match'!$A$2:$B$214,2,FALSE),"")</f>
        <v>5000002</v>
      </c>
      <c r="F2259">
        <f t="shared" si="24"/>
        <v>8</v>
      </c>
    </row>
    <row r="2260" spans="1:6">
      <c r="A2260">
        <v>5000002</v>
      </c>
      <c r="B2260">
        <v>2018</v>
      </c>
      <c r="C2260" s="10" t="s">
        <v>284</v>
      </c>
      <c r="D2260" s="15">
        <v>780363</v>
      </c>
      <c r="E2260">
        <f>IFERROR(VLOOKUP(C2260,'LEAID Match'!$A$2:$B$214,2,FALSE),"")</f>
        <v>5000002</v>
      </c>
      <c r="F2260">
        <f t="shared" si="24"/>
        <v>8</v>
      </c>
    </row>
    <row r="2261" spans="1:6">
      <c r="A2261">
        <v>5000002</v>
      </c>
      <c r="B2261">
        <v>2019</v>
      </c>
      <c r="C2261" s="10" t="s">
        <v>284</v>
      </c>
      <c r="D2261" s="15">
        <v>858549</v>
      </c>
      <c r="E2261">
        <f>IFERROR(VLOOKUP(C2261,'LEAID Match'!$A$2:$B$214,2,FALSE),"")</f>
        <v>5000002</v>
      </c>
      <c r="F2261">
        <f t="shared" si="24"/>
        <v>8</v>
      </c>
    </row>
    <row r="2262" spans="1:6">
      <c r="A2262">
        <v>5000002</v>
      </c>
      <c r="B2262">
        <v>2020</v>
      </c>
      <c r="C2262" s="10" t="s">
        <v>284</v>
      </c>
      <c r="D2262" s="15">
        <v>0</v>
      </c>
      <c r="E2262">
        <f>IFERROR(VLOOKUP(C2262,'LEAID Match'!$A$2:$B$214,2,FALSE),"")</f>
        <v>5000002</v>
      </c>
      <c r="F2262">
        <f t="shared" si="24"/>
        <v>8</v>
      </c>
    </row>
    <row r="2263" spans="1:6">
      <c r="A2263">
        <v>5000002</v>
      </c>
      <c r="B2263">
        <v>2021</v>
      </c>
      <c r="C2263" s="10" t="s">
        <v>284</v>
      </c>
      <c r="D2263" s="15">
        <v>0</v>
      </c>
      <c r="E2263">
        <f>IFERROR(VLOOKUP(C2263,'LEAID Match'!$A$2:$B$214,2,FALSE),"")</f>
        <v>5000002</v>
      </c>
      <c r="F2263">
        <f t="shared" si="24"/>
        <v>8</v>
      </c>
    </row>
    <row r="2264" spans="1:6">
      <c r="A2264">
        <v>5000002</v>
      </c>
      <c r="B2264">
        <v>2022</v>
      </c>
      <c r="C2264" s="10" t="s">
        <v>284</v>
      </c>
      <c r="D2264" s="15">
        <v>0</v>
      </c>
      <c r="E2264">
        <f>IFERROR(VLOOKUP(C2264,'LEAID Match'!$A$2:$B$214,2,FALSE),"")</f>
        <v>5000002</v>
      </c>
      <c r="F2264">
        <f t="shared" si="24"/>
        <v>8</v>
      </c>
    </row>
    <row r="2265" spans="1:6">
      <c r="A2265">
        <v>5000001</v>
      </c>
      <c r="B2265">
        <v>2015</v>
      </c>
      <c r="C2265" s="10" t="s">
        <v>32</v>
      </c>
      <c r="D2265" s="15">
        <v>241335.66</v>
      </c>
      <c r="E2265">
        <f>IFERROR(VLOOKUP(C2265,'LEAID Match'!$A$2:$B$214,2,FALSE),"")</f>
        <v>5000001</v>
      </c>
      <c r="F2265">
        <f t="shared" si="24"/>
        <v>8</v>
      </c>
    </row>
    <row r="2266" spans="1:6">
      <c r="A2266">
        <v>5000001</v>
      </c>
      <c r="B2266">
        <v>2016</v>
      </c>
      <c r="C2266" s="10" t="s">
        <v>32</v>
      </c>
      <c r="D2266" s="15">
        <v>210041.23</v>
      </c>
      <c r="E2266">
        <f>IFERROR(VLOOKUP(C2266,'LEAID Match'!$A$2:$B$214,2,FALSE),"")</f>
        <v>5000001</v>
      </c>
      <c r="F2266">
        <f t="shared" si="24"/>
        <v>8</v>
      </c>
    </row>
    <row r="2267" spans="1:6">
      <c r="A2267">
        <v>5000001</v>
      </c>
      <c r="B2267">
        <v>2017</v>
      </c>
      <c r="C2267" s="10" t="s">
        <v>32</v>
      </c>
      <c r="D2267" s="15">
        <v>220219</v>
      </c>
      <c r="E2267">
        <f>IFERROR(VLOOKUP(C2267,'LEAID Match'!$A$2:$B$214,2,FALSE),"")</f>
        <v>5000001</v>
      </c>
      <c r="F2267">
        <f t="shared" si="24"/>
        <v>8</v>
      </c>
    </row>
    <row r="2268" spans="1:6">
      <c r="A2268">
        <v>5000001</v>
      </c>
      <c r="B2268">
        <v>2018</v>
      </c>
      <c r="C2268" s="10" t="s">
        <v>32</v>
      </c>
      <c r="D2268" s="15">
        <v>293118</v>
      </c>
      <c r="E2268">
        <f>IFERROR(VLOOKUP(C2268,'LEAID Match'!$A$2:$B$214,2,FALSE),"")</f>
        <v>5000001</v>
      </c>
      <c r="F2268">
        <f t="shared" si="24"/>
        <v>8</v>
      </c>
    </row>
    <row r="2269" spans="1:6">
      <c r="A2269">
        <v>5000001</v>
      </c>
      <c r="B2269">
        <v>2019</v>
      </c>
      <c r="C2269" s="10" t="s">
        <v>32</v>
      </c>
      <c r="D2269" s="15">
        <v>0</v>
      </c>
      <c r="E2269">
        <f>IFERROR(VLOOKUP(C2269,'LEAID Match'!$A$2:$B$214,2,FALSE),"")</f>
        <v>5000001</v>
      </c>
      <c r="F2269">
        <f t="shared" si="24"/>
        <v>8</v>
      </c>
    </row>
    <row r="2270" spans="1:6">
      <c r="A2270">
        <v>5000001</v>
      </c>
      <c r="B2270">
        <v>2020</v>
      </c>
      <c r="C2270" s="10" t="s">
        <v>32</v>
      </c>
      <c r="D2270" s="15">
        <v>0</v>
      </c>
      <c r="E2270">
        <f>IFERROR(VLOOKUP(C2270,'LEAID Match'!$A$2:$B$214,2,FALSE),"")</f>
        <v>5000001</v>
      </c>
      <c r="F2270">
        <f t="shared" si="24"/>
        <v>8</v>
      </c>
    </row>
    <row r="2271" spans="1:6">
      <c r="A2271">
        <v>5000001</v>
      </c>
      <c r="B2271">
        <v>2021</v>
      </c>
      <c r="C2271" s="10" t="s">
        <v>32</v>
      </c>
      <c r="D2271" s="15">
        <v>0</v>
      </c>
      <c r="E2271">
        <f>IFERROR(VLOOKUP(C2271,'LEAID Match'!$A$2:$B$214,2,FALSE),"")</f>
        <v>5000001</v>
      </c>
      <c r="F2271">
        <f t="shared" si="24"/>
        <v>8</v>
      </c>
    </row>
    <row r="2272" spans="1:6">
      <c r="A2272">
        <v>5000001</v>
      </c>
      <c r="B2272">
        <v>2022</v>
      </c>
      <c r="C2272" s="10" t="s">
        <v>32</v>
      </c>
      <c r="D2272" s="15">
        <v>0</v>
      </c>
      <c r="E2272">
        <f>IFERROR(VLOOKUP(C2272,'LEAID Match'!$A$2:$B$214,2,FALSE),"")</f>
        <v>5000001</v>
      </c>
      <c r="F2272">
        <f t="shared" si="24"/>
        <v>8</v>
      </c>
    </row>
    <row r="2273" spans="1:5">
      <c r="A2273">
        <v>0</v>
      </c>
      <c r="B2273">
        <v>2015</v>
      </c>
      <c r="C2273" s="10" t="s">
        <v>197</v>
      </c>
      <c r="D2273" s="15">
        <v>616133.89</v>
      </c>
      <c r="E2273">
        <f>IFERROR(VLOOKUP(C2273,'LEAID Match'!$A$2:$B$214,2,FALSE),"")</f>
        <v>0</v>
      </c>
    </row>
    <row r="2274" spans="1:5">
      <c r="A2274">
        <v>0</v>
      </c>
      <c r="B2274">
        <v>2016</v>
      </c>
      <c r="C2274" s="10" t="s">
        <v>197</v>
      </c>
      <c r="D2274" s="15">
        <v>565982.98</v>
      </c>
      <c r="E2274">
        <f>IFERROR(VLOOKUP(C2274,'LEAID Match'!$A$2:$B$214,2,FALSE),"")</f>
        <v>0</v>
      </c>
    </row>
    <row r="2275" spans="1:5">
      <c r="A2275">
        <v>0</v>
      </c>
      <c r="B2275">
        <v>2017</v>
      </c>
      <c r="C2275" s="10" t="s">
        <v>197</v>
      </c>
      <c r="D2275" s="15">
        <v>612011</v>
      </c>
      <c r="E2275">
        <f>IFERROR(VLOOKUP(C2275,'LEAID Match'!$A$2:$B$214,2,FALSE),"")</f>
        <v>0</v>
      </c>
    </row>
    <row r="2276" spans="1:5">
      <c r="A2276">
        <v>0</v>
      </c>
      <c r="B2276">
        <v>2018</v>
      </c>
      <c r="C2276" s="10" t="s">
        <v>197</v>
      </c>
      <c r="D2276" s="15">
        <v>836184</v>
      </c>
      <c r="E2276">
        <f>IFERROR(VLOOKUP(C2276,'LEAID Match'!$A$2:$B$214,2,FALSE),"")</f>
        <v>0</v>
      </c>
    </row>
    <row r="2277" spans="1:5">
      <c r="A2277">
        <v>0</v>
      </c>
      <c r="B2277">
        <v>2019</v>
      </c>
      <c r="C2277" s="10" t="s">
        <v>197</v>
      </c>
      <c r="D2277" s="15">
        <v>914974</v>
      </c>
      <c r="E2277">
        <f>IFERROR(VLOOKUP(C2277,'LEAID Match'!$A$2:$B$214,2,FALSE),"")</f>
        <v>0</v>
      </c>
    </row>
    <row r="2278" spans="1:5">
      <c r="A2278">
        <v>0</v>
      </c>
      <c r="B2278">
        <v>2020</v>
      </c>
      <c r="C2278" s="10" t="s">
        <v>197</v>
      </c>
      <c r="D2278" s="15">
        <v>957383</v>
      </c>
      <c r="E2278">
        <f>IFERROR(VLOOKUP(C2278,'LEAID Match'!$A$2:$B$214,2,FALSE),"")</f>
        <v>0</v>
      </c>
    </row>
    <row r="2279" spans="1:5">
      <c r="A2279">
        <v>0</v>
      </c>
      <c r="B2279">
        <v>2021</v>
      </c>
      <c r="C2279" s="10" t="s">
        <v>197</v>
      </c>
      <c r="D2279" s="15">
        <v>955466</v>
      </c>
      <c r="E2279">
        <f>IFERROR(VLOOKUP(C2279,'LEAID Match'!$A$2:$B$214,2,FALSE),"")</f>
        <v>0</v>
      </c>
    </row>
    <row r="2280" spans="1:5">
      <c r="A2280">
        <v>0</v>
      </c>
      <c r="B2280">
        <v>2022</v>
      </c>
      <c r="C2280" s="10" t="s">
        <v>197</v>
      </c>
      <c r="D2280" s="15">
        <v>2295577</v>
      </c>
      <c r="E2280">
        <f>IFERROR(VLOOKUP(C2280,'LEAID Match'!$A$2:$B$214,2,FALSE),"")</f>
        <v>0</v>
      </c>
    </row>
    <row r="2281" spans="1:5">
      <c r="A2281">
        <v>0</v>
      </c>
      <c r="B2281">
        <v>2015</v>
      </c>
      <c r="C2281" s="10" t="s">
        <v>201</v>
      </c>
      <c r="D2281" s="15">
        <v>19474.580000000002</v>
      </c>
      <c r="E2281">
        <f>IFERROR(VLOOKUP(C2281,'LEAID Match'!$A$2:$B$214,2,FALSE),"")</f>
        <v>0</v>
      </c>
    </row>
    <row r="2282" spans="1:5">
      <c r="A2282">
        <v>0</v>
      </c>
      <c r="B2282">
        <v>2016</v>
      </c>
      <c r="C2282" s="10" t="s">
        <v>201</v>
      </c>
      <c r="E2282">
        <f>IFERROR(VLOOKUP(C2282,'LEAID Match'!$A$2:$B$214,2,FALSE),"")</f>
        <v>0</v>
      </c>
    </row>
    <row r="2283" spans="1:5">
      <c r="A2283">
        <v>0</v>
      </c>
      <c r="B2283">
        <v>2017</v>
      </c>
      <c r="C2283" s="10" t="s">
        <v>201</v>
      </c>
      <c r="D2283" s="15">
        <v>19376</v>
      </c>
      <c r="E2283">
        <f>IFERROR(VLOOKUP(C2283,'LEAID Match'!$A$2:$B$214,2,FALSE),"")</f>
        <v>0</v>
      </c>
    </row>
    <row r="2284" spans="1:5">
      <c r="A2284">
        <v>0</v>
      </c>
      <c r="B2284">
        <v>2018</v>
      </c>
      <c r="C2284" s="10" t="s">
        <v>201</v>
      </c>
      <c r="D2284" s="15">
        <v>27252</v>
      </c>
      <c r="E2284">
        <f>IFERROR(VLOOKUP(C2284,'LEAID Match'!$A$2:$B$214,2,FALSE),"")</f>
        <v>0</v>
      </c>
    </row>
    <row r="2285" spans="1:5">
      <c r="A2285">
        <v>0</v>
      </c>
      <c r="B2285">
        <v>2019</v>
      </c>
      <c r="C2285" s="10" t="s">
        <v>201</v>
      </c>
      <c r="D2285" s="15">
        <v>15465</v>
      </c>
      <c r="E2285">
        <f>IFERROR(VLOOKUP(C2285,'LEAID Match'!$A$2:$B$214,2,FALSE),"")</f>
        <v>0</v>
      </c>
    </row>
    <row r="2286" spans="1:5">
      <c r="A2286">
        <v>0</v>
      </c>
      <c r="B2286">
        <v>2020</v>
      </c>
      <c r="C2286" s="10" t="s">
        <v>201</v>
      </c>
      <c r="D2286" s="15">
        <v>15429</v>
      </c>
      <c r="E2286">
        <f>IFERROR(VLOOKUP(C2286,'LEAID Match'!$A$2:$B$214,2,FALSE),"")</f>
        <v>0</v>
      </c>
    </row>
    <row r="2287" spans="1:5">
      <c r="A2287">
        <v>0</v>
      </c>
      <c r="B2287">
        <v>2021</v>
      </c>
      <c r="C2287" s="10" t="s">
        <v>201</v>
      </c>
      <c r="D2287" s="15">
        <v>16761</v>
      </c>
      <c r="E2287">
        <f>IFERROR(VLOOKUP(C2287,'LEAID Match'!$A$2:$B$214,2,FALSE),"")</f>
        <v>0</v>
      </c>
    </row>
    <row r="2288" spans="1:5">
      <c r="A2288">
        <v>0</v>
      </c>
      <c r="B2288">
        <v>2022</v>
      </c>
      <c r="C2288" s="10" t="s">
        <v>201</v>
      </c>
      <c r="D2288" s="15">
        <v>39997</v>
      </c>
      <c r="E2288">
        <f>IFERROR(VLOOKUP(C2288,'LEAID Match'!$A$2:$B$214,2,FALSE),"")</f>
        <v>0</v>
      </c>
    </row>
    <row r="2289" spans="1:5">
      <c r="A2289">
        <v>0</v>
      </c>
      <c r="B2289">
        <v>2015</v>
      </c>
      <c r="C2289" s="10" t="s">
        <v>202</v>
      </c>
      <c r="D2289" s="15">
        <v>8350.44</v>
      </c>
      <c r="E2289">
        <f>IFERROR(VLOOKUP(C2289,'LEAID Match'!$A$2:$B$214,2,FALSE),"")</f>
        <v>0</v>
      </c>
    </row>
    <row r="2290" spans="1:5">
      <c r="A2290">
        <v>0</v>
      </c>
      <c r="B2290">
        <v>2016</v>
      </c>
      <c r="C2290" s="10" t="s">
        <v>202</v>
      </c>
      <c r="E2290">
        <f>IFERROR(VLOOKUP(C2290,'LEAID Match'!$A$2:$B$214,2,FALSE),"")</f>
        <v>0</v>
      </c>
    </row>
    <row r="2291" spans="1:5">
      <c r="A2291">
        <v>0</v>
      </c>
      <c r="B2291">
        <v>2017</v>
      </c>
      <c r="C2291" s="10" t="s">
        <v>202</v>
      </c>
      <c r="D2291" s="15">
        <v>4551</v>
      </c>
      <c r="E2291">
        <f>IFERROR(VLOOKUP(C2291,'LEAID Match'!$A$2:$B$214,2,FALSE),"")</f>
        <v>0</v>
      </c>
    </row>
    <row r="2292" spans="1:5">
      <c r="A2292">
        <v>0</v>
      </c>
      <c r="B2292">
        <v>2018</v>
      </c>
      <c r="C2292" s="10" t="s">
        <v>202</v>
      </c>
      <c r="D2292" s="15">
        <v>9682</v>
      </c>
      <c r="E2292">
        <f>IFERROR(VLOOKUP(C2292,'LEAID Match'!$A$2:$B$214,2,FALSE),"")</f>
        <v>0</v>
      </c>
    </row>
    <row r="2293" spans="1:5">
      <c r="A2293">
        <v>0</v>
      </c>
      <c r="B2293">
        <v>2019</v>
      </c>
      <c r="C2293" s="10" t="s">
        <v>202</v>
      </c>
      <c r="D2293" s="15">
        <v>7441</v>
      </c>
      <c r="E2293">
        <f>IFERROR(VLOOKUP(C2293,'LEAID Match'!$A$2:$B$214,2,FALSE),"")</f>
        <v>0</v>
      </c>
    </row>
    <row r="2294" spans="1:5">
      <c r="A2294">
        <v>0</v>
      </c>
      <c r="B2294">
        <v>2020</v>
      </c>
      <c r="C2294" s="10" t="s">
        <v>202</v>
      </c>
      <c r="D2294" s="15">
        <v>8230</v>
      </c>
      <c r="E2294">
        <f>IFERROR(VLOOKUP(C2294,'LEAID Match'!$A$2:$B$214,2,FALSE),"")</f>
        <v>0</v>
      </c>
    </row>
    <row r="2295" spans="1:5">
      <c r="A2295">
        <v>0</v>
      </c>
      <c r="B2295">
        <v>2021</v>
      </c>
      <c r="C2295" s="10" t="s">
        <v>202</v>
      </c>
      <c r="D2295" s="15">
        <v>0</v>
      </c>
      <c r="E2295">
        <f>IFERROR(VLOOKUP(C2295,'LEAID Match'!$A$2:$B$214,2,FALSE),"")</f>
        <v>0</v>
      </c>
    </row>
    <row r="2296" spans="1:5">
      <c r="A2296">
        <v>0</v>
      </c>
      <c r="B2296">
        <v>2022</v>
      </c>
      <c r="C2296" s="10" t="s">
        <v>202</v>
      </c>
      <c r="D2296" s="15">
        <v>0</v>
      </c>
      <c r="E2296">
        <f>IFERROR(VLOOKUP(C2296,'LEAID Match'!$A$2:$B$214,2,FALSE),"")</f>
        <v>0</v>
      </c>
    </row>
    <row r="2297" spans="1:5">
      <c r="A2297">
        <v>0</v>
      </c>
      <c r="B2297">
        <v>2015</v>
      </c>
      <c r="C2297" s="10" t="s">
        <v>289</v>
      </c>
      <c r="D2297" s="15">
        <v>154592.6</v>
      </c>
      <c r="E2297">
        <f>IFERROR(VLOOKUP(C2297,'LEAID Match'!$A$2:$B$214,2,FALSE),"")</f>
        <v>0</v>
      </c>
    </row>
    <row r="2298" spans="1:5">
      <c r="A2298">
        <v>0</v>
      </c>
      <c r="B2298">
        <v>2016</v>
      </c>
      <c r="C2298" s="10" t="s">
        <v>289</v>
      </c>
      <c r="D2298" s="15">
        <v>159726.18</v>
      </c>
      <c r="E2298">
        <f>IFERROR(VLOOKUP(C2298,'LEAID Match'!$A$2:$B$214,2,FALSE),"")</f>
        <v>0</v>
      </c>
    </row>
    <row r="2299" spans="1:5">
      <c r="A2299">
        <v>0</v>
      </c>
      <c r="B2299">
        <v>2017</v>
      </c>
      <c r="C2299" s="10" t="s">
        <v>289</v>
      </c>
      <c r="D2299" s="15">
        <v>163139</v>
      </c>
      <c r="E2299">
        <f>IFERROR(VLOOKUP(C2299,'LEAID Match'!$A$2:$B$214,2,FALSE),"")</f>
        <v>0</v>
      </c>
    </row>
    <row r="2300" spans="1:5">
      <c r="A2300">
        <v>0</v>
      </c>
      <c r="B2300">
        <v>2018</v>
      </c>
      <c r="C2300" s="10" t="s">
        <v>289</v>
      </c>
      <c r="D2300" s="15">
        <v>232837</v>
      </c>
      <c r="E2300">
        <f>IFERROR(VLOOKUP(C2300,'LEAID Match'!$A$2:$B$214,2,FALSE),"")</f>
        <v>0</v>
      </c>
    </row>
    <row r="2301" spans="1:5">
      <c r="A2301">
        <v>0</v>
      </c>
      <c r="B2301">
        <v>2019</v>
      </c>
      <c r="C2301" s="10" t="s">
        <v>289</v>
      </c>
      <c r="D2301" s="15">
        <v>248251</v>
      </c>
      <c r="E2301">
        <f>IFERROR(VLOOKUP(C2301,'LEAID Match'!$A$2:$B$214,2,FALSE),"")</f>
        <v>0</v>
      </c>
    </row>
    <row r="2302" spans="1:5">
      <c r="A2302">
        <v>0</v>
      </c>
      <c r="B2302">
        <v>2020</v>
      </c>
      <c r="C2302" s="10" t="s">
        <v>289</v>
      </c>
      <c r="D2302" s="15">
        <v>278409</v>
      </c>
      <c r="E2302">
        <f>IFERROR(VLOOKUP(C2302,'LEAID Match'!$A$2:$B$214,2,FALSE),"")</f>
        <v>0</v>
      </c>
    </row>
    <row r="2303" spans="1:5">
      <c r="A2303">
        <v>0</v>
      </c>
      <c r="B2303">
        <v>2021</v>
      </c>
      <c r="C2303" s="10" t="s">
        <v>289</v>
      </c>
      <c r="D2303" s="15">
        <v>249597</v>
      </c>
      <c r="E2303">
        <f>IFERROR(VLOOKUP(C2303,'LEAID Match'!$A$2:$B$214,2,FALSE),"")</f>
        <v>0</v>
      </c>
    </row>
    <row r="2304" spans="1:5">
      <c r="A2304">
        <v>0</v>
      </c>
      <c r="B2304">
        <v>2022</v>
      </c>
      <c r="C2304" s="10" t="s">
        <v>289</v>
      </c>
      <c r="D2304" s="15">
        <v>631515</v>
      </c>
      <c r="E2304">
        <f>IFERROR(VLOOKUP(C2304,'LEAID Match'!$A$2:$B$214,2,FALSE),"")</f>
        <v>0</v>
      </c>
    </row>
    <row r="2305" spans="1:5">
      <c r="A2305">
        <v>0</v>
      </c>
      <c r="B2305">
        <v>2015</v>
      </c>
      <c r="C2305" s="10" t="s">
        <v>198</v>
      </c>
      <c r="D2305" s="15">
        <v>295410.26</v>
      </c>
      <c r="E2305">
        <f>IFERROR(VLOOKUP(C2305,'LEAID Match'!$A$2:$B$214,2,FALSE),"")</f>
        <v>0</v>
      </c>
    </row>
    <row r="2306" spans="1:5">
      <c r="A2306">
        <v>0</v>
      </c>
      <c r="B2306">
        <v>2016</v>
      </c>
      <c r="C2306" s="10" t="s">
        <v>198</v>
      </c>
      <c r="D2306" s="15">
        <v>279331.39</v>
      </c>
      <c r="E2306">
        <f>IFERROR(VLOOKUP(C2306,'LEAID Match'!$A$2:$B$214,2,FALSE),"")</f>
        <v>0</v>
      </c>
    </row>
    <row r="2307" spans="1:5">
      <c r="A2307">
        <v>0</v>
      </c>
      <c r="B2307">
        <v>2017</v>
      </c>
      <c r="C2307" s="10" t="s">
        <v>198</v>
      </c>
      <c r="D2307" s="15">
        <v>317959</v>
      </c>
      <c r="E2307">
        <f>IFERROR(VLOOKUP(C2307,'LEAID Match'!$A$2:$B$214,2,FALSE),"")</f>
        <v>0</v>
      </c>
    </row>
    <row r="2308" spans="1:5">
      <c r="A2308">
        <v>0</v>
      </c>
      <c r="B2308">
        <v>2018</v>
      </c>
      <c r="C2308" s="10" t="s">
        <v>198</v>
      </c>
      <c r="D2308" s="15">
        <v>401760</v>
      </c>
      <c r="E2308">
        <f>IFERROR(VLOOKUP(C2308,'LEAID Match'!$A$2:$B$214,2,FALSE),"")</f>
        <v>0</v>
      </c>
    </row>
    <row r="2309" spans="1:5">
      <c r="A2309">
        <v>0</v>
      </c>
      <c r="B2309">
        <v>2019</v>
      </c>
      <c r="C2309" s="10" t="s">
        <v>198</v>
      </c>
      <c r="D2309" s="15">
        <v>494140</v>
      </c>
      <c r="E2309">
        <f>IFERROR(VLOOKUP(C2309,'LEAID Match'!$A$2:$B$214,2,FALSE),"")</f>
        <v>0</v>
      </c>
    </row>
    <row r="2310" spans="1:5">
      <c r="A2310">
        <v>0</v>
      </c>
      <c r="B2310">
        <v>2020</v>
      </c>
      <c r="C2310" s="10" t="s">
        <v>198</v>
      </c>
      <c r="D2310" s="15">
        <v>480466</v>
      </c>
      <c r="E2310">
        <f>IFERROR(VLOOKUP(C2310,'LEAID Match'!$A$2:$B$214,2,FALSE),"")</f>
        <v>0</v>
      </c>
    </row>
    <row r="2311" spans="1:5">
      <c r="A2311">
        <v>0</v>
      </c>
      <c r="B2311">
        <v>2021</v>
      </c>
      <c r="C2311" s="10" t="s">
        <v>198</v>
      </c>
      <c r="D2311" s="15">
        <v>436543</v>
      </c>
      <c r="E2311">
        <f>IFERROR(VLOOKUP(C2311,'LEAID Match'!$A$2:$B$214,2,FALSE),"")</f>
        <v>0</v>
      </c>
    </row>
    <row r="2312" spans="1:5">
      <c r="A2312">
        <v>0</v>
      </c>
      <c r="B2312">
        <v>2022</v>
      </c>
      <c r="C2312" s="10" t="s">
        <v>198</v>
      </c>
      <c r="D2312" s="15">
        <v>1022970</v>
      </c>
      <c r="E2312">
        <f>IFERROR(VLOOKUP(C2312,'LEAID Match'!$A$2:$B$214,2,FALSE),"")</f>
        <v>0</v>
      </c>
    </row>
    <row r="2313" spans="1:5">
      <c r="A2313">
        <v>0</v>
      </c>
      <c r="B2313">
        <v>2015</v>
      </c>
      <c r="C2313" s="10" t="s">
        <v>105</v>
      </c>
      <c r="D2313" s="15">
        <v>57568.86</v>
      </c>
      <c r="E2313">
        <f>IFERROR(VLOOKUP(C2313,'LEAID Match'!$A$2:$B$214,2,FALSE),"")</f>
        <v>0</v>
      </c>
    </row>
    <row r="2314" spans="1:5">
      <c r="A2314">
        <v>0</v>
      </c>
      <c r="B2314">
        <v>2016</v>
      </c>
      <c r="C2314" s="10" t="s">
        <v>105</v>
      </c>
      <c r="D2314" s="15">
        <v>63426.97</v>
      </c>
      <c r="E2314">
        <f>IFERROR(VLOOKUP(C2314,'LEAID Match'!$A$2:$B$214,2,FALSE),"")</f>
        <v>0</v>
      </c>
    </row>
    <row r="2315" spans="1:5">
      <c r="A2315">
        <v>0</v>
      </c>
      <c r="B2315">
        <v>2017</v>
      </c>
      <c r="C2315" s="10" t="s">
        <v>105</v>
      </c>
      <c r="D2315" s="15">
        <v>70773</v>
      </c>
      <c r="E2315">
        <f>IFERROR(VLOOKUP(C2315,'LEAID Match'!$A$2:$B$214,2,FALSE),"")</f>
        <v>0</v>
      </c>
    </row>
    <row r="2316" spans="1:5">
      <c r="A2316">
        <v>0</v>
      </c>
      <c r="B2316">
        <v>2018</v>
      </c>
      <c r="C2316" s="10" t="s">
        <v>105</v>
      </c>
      <c r="D2316" s="15">
        <v>104475</v>
      </c>
      <c r="E2316">
        <f>IFERROR(VLOOKUP(C2316,'LEAID Match'!$A$2:$B$214,2,FALSE),"")</f>
        <v>0</v>
      </c>
    </row>
    <row r="2317" spans="1:5">
      <c r="A2317">
        <v>0</v>
      </c>
      <c r="B2317">
        <v>2019</v>
      </c>
      <c r="C2317" s="10" t="s">
        <v>105</v>
      </c>
      <c r="D2317" s="15">
        <v>117584</v>
      </c>
      <c r="E2317">
        <f>IFERROR(VLOOKUP(C2317,'LEAID Match'!$A$2:$B$214,2,FALSE),"")</f>
        <v>0</v>
      </c>
    </row>
    <row r="2318" spans="1:5">
      <c r="A2318">
        <v>0</v>
      </c>
      <c r="B2318">
        <v>2020</v>
      </c>
      <c r="C2318" s="10" t="s">
        <v>105</v>
      </c>
      <c r="D2318" s="15">
        <v>0</v>
      </c>
      <c r="E2318">
        <f>IFERROR(VLOOKUP(C2318,'LEAID Match'!$A$2:$B$214,2,FALSE),"")</f>
        <v>0</v>
      </c>
    </row>
    <row r="2319" spans="1:5">
      <c r="A2319">
        <v>0</v>
      </c>
      <c r="B2319">
        <v>2021</v>
      </c>
      <c r="C2319" s="10" t="s">
        <v>105</v>
      </c>
      <c r="D2319" s="15">
        <v>0</v>
      </c>
      <c r="E2319">
        <f>IFERROR(VLOOKUP(C2319,'LEAID Match'!$A$2:$B$214,2,FALSE),"")</f>
        <v>0</v>
      </c>
    </row>
    <row r="2320" spans="1:5">
      <c r="A2320">
        <v>0</v>
      </c>
      <c r="B2320">
        <v>2022</v>
      </c>
      <c r="C2320" s="10" t="s">
        <v>105</v>
      </c>
      <c r="D2320" s="15">
        <v>0</v>
      </c>
      <c r="E2320">
        <f>IFERROR(VLOOKUP(C2320,'LEAID Match'!$A$2:$B$214,2,FALSE),"")</f>
        <v>0</v>
      </c>
    </row>
    <row r="2321" spans="1:5">
      <c r="A2321">
        <v>0</v>
      </c>
      <c r="B2321">
        <v>2015</v>
      </c>
      <c r="C2321" s="10" t="s">
        <v>259</v>
      </c>
      <c r="D2321" s="15">
        <v>227603.07</v>
      </c>
      <c r="E2321">
        <f>IFERROR(VLOOKUP(C2321,'LEAID Match'!$A$2:$B$214,2,FALSE),"")</f>
        <v>0</v>
      </c>
    </row>
    <row r="2322" spans="1:5">
      <c r="A2322">
        <v>0</v>
      </c>
      <c r="B2322">
        <v>2016</v>
      </c>
      <c r="C2322" s="10" t="s">
        <v>259</v>
      </c>
      <c r="D2322" s="15">
        <v>189996.75</v>
      </c>
      <c r="E2322">
        <f>IFERROR(VLOOKUP(C2322,'LEAID Match'!$A$2:$B$214,2,FALSE),"")</f>
        <v>0</v>
      </c>
    </row>
    <row r="2323" spans="1:5">
      <c r="A2323">
        <v>0</v>
      </c>
      <c r="B2323">
        <v>2017</v>
      </c>
      <c r="C2323" s="10" t="s">
        <v>259</v>
      </c>
      <c r="D2323" s="15">
        <v>481352</v>
      </c>
      <c r="E2323">
        <f>IFERROR(VLOOKUP(C2323,'LEAID Match'!$A$2:$B$214,2,FALSE),"")</f>
        <v>0</v>
      </c>
    </row>
    <row r="2324" spans="1:5">
      <c r="A2324">
        <v>0</v>
      </c>
      <c r="B2324">
        <v>2018</v>
      </c>
      <c r="C2324" s="10" t="s">
        <v>259</v>
      </c>
      <c r="D2324" s="15">
        <v>677823</v>
      </c>
      <c r="E2324">
        <f>IFERROR(VLOOKUP(C2324,'LEAID Match'!$A$2:$B$214,2,FALSE),"")</f>
        <v>0</v>
      </c>
    </row>
    <row r="2325" spans="1:5">
      <c r="A2325">
        <v>0</v>
      </c>
      <c r="B2325">
        <v>2019</v>
      </c>
      <c r="C2325" s="10" t="s">
        <v>259</v>
      </c>
      <c r="D2325" s="15">
        <v>667566</v>
      </c>
      <c r="E2325">
        <f>IFERROR(VLOOKUP(C2325,'LEAID Match'!$A$2:$B$214,2,FALSE),"")</f>
        <v>0</v>
      </c>
    </row>
    <row r="2326" spans="1:5">
      <c r="A2326">
        <v>0</v>
      </c>
      <c r="B2326">
        <v>2020</v>
      </c>
      <c r="C2326" s="10" t="s">
        <v>259</v>
      </c>
      <c r="D2326" s="15">
        <v>749432</v>
      </c>
      <c r="E2326">
        <f>IFERROR(VLOOKUP(C2326,'LEAID Match'!$A$2:$B$214,2,FALSE),"")</f>
        <v>0</v>
      </c>
    </row>
    <row r="2327" spans="1:5">
      <c r="A2327">
        <v>0</v>
      </c>
      <c r="B2327">
        <v>2021</v>
      </c>
      <c r="C2327" s="10" t="s">
        <v>259</v>
      </c>
      <c r="D2327" s="15">
        <v>889113</v>
      </c>
      <c r="E2327">
        <f>IFERROR(VLOOKUP(C2327,'LEAID Match'!$A$2:$B$214,2,FALSE),"")</f>
        <v>0</v>
      </c>
    </row>
    <row r="2328" spans="1:5">
      <c r="A2328">
        <v>0</v>
      </c>
      <c r="B2328">
        <v>2022</v>
      </c>
      <c r="C2328" s="10" t="s">
        <v>259</v>
      </c>
      <c r="D2328" s="15">
        <v>2270064</v>
      </c>
      <c r="E2328">
        <f>IFERROR(VLOOKUP(C2328,'LEAID Match'!$A$2:$B$214,2,FALSE),"")</f>
        <v>0</v>
      </c>
    </row>
    <row r="2329" spans="1:5">
      <c r="A2329">
        <v>0</v>
      </c>
      <c r="B2329">
        <v>2015</v>
      </c>
      <c r="C2329" s="10" t="s">
        <v>244</v>
      </c>
      <c r="D2329" s="15">
        <v>89039.32</v>
      </c>
      <c r="E2329">
        <f>IFERROR(VLOOKUP(C2329,'LEAID Match'!$A$2:$B$214,2,FALSE),"")</f>
        <v>0</v>
      </c>
    </row>
    <row r="2330" spans="1:5">
      <c r="A2330">
        <v>0</v>
      </c>
      <c r="B2330">
        <v>2016</v>
      </c>
      <c r="C2330" s="10" t="s">
        <v>244</v>
      </c>
      <c r="D2330" s="15">
        <v>84923.39</v>
      </c>
      <c r="E2330">
        <f>IFERROR(VLOOKUP(C2330,'LEAID Match'!$A$2:$B$214,2,FALSE),"")</f>
        <v>0</v>
      </c>
    </row>
    <row r="2331" spans="1:5">
      <c r="A2331">
        <v>0</v>
      </c>
      <c r="B2331">
        <v>2017</v>
      </c>
      <c r="C2331" s="10" t="s">
        <v>244</v>
      </c>
      <c r="D2331" s="15">
        <v>72126</v>
      </c>
      <c r="E2331">
        <f>IFERROR(VLOOKUP(C2331,'LEAID Match'!$A$2:$B$214,2,FALSE),"")</f>
        <v>0</v>
      </c>
    </row>
    <row r="2332" spans="1:5">
      <c r="A2332">
        <v>0</v>
      </c>
      <c r="B2332">
        <v>2018</v>
      </c>
      <c r="C2332" s="10" t="s">
        <v>244</v>
      </c>
      <c r="D2332" s="15">
        <v>106443</v>
      </c>
      <c r="E2332">
        <f>IFERROR(VLOOKUP(C2332,'LEAID Match'!$A$2:$B$214,2,FALSE),"")</f>
        <v>0</v>
      </c>
    </row>
    <row r="2333" spans="1:5">
      <c r="A2333">
        <v>0</v>
      </c>
      <c r="B2333">
        <v>2019</v>
      </c>
      <c r="C2333" s="10" t="s">
        <v>244</v>
      </c>
      <c r="D2333" s="15">
        <v>0</v>
      </c>
      <c r="E2333">
        <f>IFERROR(VLOOKUP(C2333,'LEAID Match'!$A$2:$B$214,2,FALSE),"")</f>
        <v>0</v>
      </c>
    </row>
    <row r="2334" spans="1:5">
      <c r="A2334">
        <v>0</v>
      </c>
      <c r="B2334">
        <v>2020</v>
      </c>
      <c r="C2334" s="10" t="s">
        <v>244</v>
      </c>
      <c r="D2334" s="15">
        <v>0</v>
      </c>
      <c r="E2334">
        <f>IFERROR(VLOOKUP(C2334,'LEAID Match'!$A$2:$B$214,2,FALSE),"")</f>
        <v>0</v>
      </c>
    </row>
    <row r="2335" spans="1:5">
      <c r="A2335">
        <v>0</v>
      </c>
      <c r="B2335">
        <v>2021</v>
      </c>
      <c r="C2335" s="10" t="s">
        <v>244</v>
      </c>
      <c r="D2335" s="15">
        <v>0</v>
      </c>
      <c r="E2335">
        <f>IFERROR(VLOOKUP(C2335,'LEAID Match'!$A$2:$B$214,2,FALSE),"")</f>
        <v>0</v>
      </c>
    </row>
    <row r="2336" spans="1:5">
      <c r="A2336">
        <v>0</v>
      </c>
      <c r="B2336">
        <v>2022</v>
      </c>
      <c r="C2336" s="10" t="s">
        <v>244</v>
      </c>
      <c r="D2336" s="15">
        <v>0</v>
      </c>
      <c r="E2336">
        <f>IFERROR(VLOOKUP(C2336,'LEAID Match'!$A$2:$B$214,2,FALSE),"")</f>
        <v>0</v>
      </c>
    </row>
    <row r="2337" spans="1:5">
      <c r="A2337">
        <v>0</v>
      </c>
      <c r="B2337">
        <v>2015</v>
      </c>
      <c r="C2337" s="10" t="s">
        <v>268</v>
      </c>
      <c r="D2337" s="15">
        <v>270953.28999999998</v>
      </c>
      <c r="E2337">
        <f>IFERROR(VLOOKUP(C2337,'LEAID Match'!$A$2:$B$214,2,FALSE),"")</f>
        <v>0</v>
      </c>
    </row>
    <row r="2338" spans="1:5">
      <c r="A2338">
        <v>0</v>
      </c>
      <c r="B2338">
        <v>2016</v>
      </c>
      <c r="C2338" s="10" t="s">
        <v>268</v>
      </c>
      <c r="D2338" s="15">
        <v>239066.31</v>
      </c>
      <c r="E2338">
        <f>IFERROR(VLOOKUP(C2338,'LEAID Match'!$A$2:$B$214,2,FALSE),"")</f>
        <v>0</v>
      </c>
    </row>
    <row r="2339" spans="1:5">
      <c r="A2339">
        <v>0</v>
      </c>
      <c r="B2339">
        <v>2017</v>
      </c>
      <c r="C2339" s="10" t="s">
        <v>268</v>
      </c>
      <c r="D2339" s="15">
        <v>252062</v>
      </c>
      <c r="E2339">
        <f>IFERROR(VLOOKUP(C2339,'LEAID Match'!$A$2:$B$214,2,FALSE),"")</f>
        <v>0</v>
      </c>
    </row>
    <row r="2340" spans="1:5">
      <c r="A2340">
        <v>0</v>
      </c>
      <c r="B2340">
        <v>2018</v>
      </c>
      <c r="C2340" s="10" t="s">
        <v>268</v>
      </c>
      <c r="D2340" s="15">
        <v>374230</v>
      </c>
      <c r="E2340">
        <f>IFERROR(VLOOKUP(C2340,'LEAID Match'!$A$2:$B$214,2,FALSE),"")</f>
        <v>0</v>
      </c>
    </row>
    <row r="2341" spans="1:5">
      <c r="A2341">
        <v>0</v>
      </c>
      <c r="B2341">
        <v>2019</v>
      </c>
      <c r="C2341" s="10" t="s">
        <v>268</v>
      </c>
      <c r="D2341" s="15">
        <v>393791</v>
      </c>
      <c r="E2341">
        <f>IFERROR(VLOOKUP(C2341,'LEAID Match'!$A$2:$B$214,2,FALSE),"")</f>
        <v>0</v>
      </c>
    </row>
    <row r="2342" spans="1:5">
      <c r="A2342">
        <v>0</v>
      </c>
      <c r="B2342">
        <v>2020</v>
      </c>
      <c r="C2342" s="10" t="s">
        <v>268</v>
      </c>
      <c r="D2342" s="15">
        <v>397492</v>
      </c>
      <c r="E2342">
        <f>IFERROR(VLOOKUP(C2342,'LEAID Match'!$A$2:$B$214,2,FALSE),"")</f>
        <v>0</v>
      </c>
    </row>
    <row r="2343" spans="1:5">
      <c r="A2343">
        <v>0</v>
      </c>
      <c r="B2343">
        <v>2021</v>
      </c>
      <c r="C2343" s="10" t="s">
        <v>268</v>
      </c>
      <c r="D2343" s="15">
        <v>412389</v>
      </c>
      <c r="E2343">
        <f>IFERROR(VLOOKUP(C2343,'LEAID Match'!$A$2:$B$214,2,FALSE),"")</f>
        <v>0</v>
      </c>
    </row>
    <row r="2344" spans="1:5">
      <c r="A2344">
        <v>0</v>
      </c>
      <c r="B2344">
        <v>2022</v>
      </c>
      <c r="C2344" s="10" t="s">
        <v>268</v>
      </c>
      <c r="D2344" s="15">
        <v>997935</v>
      </c>
      <c r="E2344">
        <f>IFERROR(VLOOKUP(C2344,'LEAID Match'!$A$2:$B$214,2,FALSE),"")</f>
        <v>0</v>
      </c>
    </row>
    <row r="2345" spans="1:5">
      <c r="A2345">
        <v>0</v>
      </c>
      <c r="B2345">
        <v>2015</v>
      </c>
      <c r="C2345" s="10" t="s">
        <v>257</v>
      </c>
      <c r="D2345" s="15">
        <v>168835.43</v>
      </c>
      <c r="E2345">
        <f>IFERROR(VLOOKUP(C2345,'LEAID Match'!$A$2:$B$214,2,FALSE),"")</f>
        <v>0</v>
      </c>
    </row>
    <row r="2346" spans="1:5">
      <c r="A2346">
        <v>0</v>
      </c>
      <c r="B2346">
        <v>2016</v>
      </c>
      <c r="C2346" s="10" t="s">
        <v>257</v>
      </c>
      <c r="D2346" s="15">
        <v>131598.64000000001</v>
      </c>
      <c r="E2346">
        <f>IFERROR(VLOOKUP(C2346,'LEAID Match'!$A$2:$B$214,2,FALSE),"")</f>
        <v>0</v>
      </c>
    </row>
    <row r="2347" spans="1:5">
      <c r="A2347">
        <v>0</v>
      </c>
      <c r="B2347">
        <v>2017</v>
      </c>
      <c r="C2347" s="10" t="s">
        <v>257</v>
      </c>
      <c r="D2347" s="15">
        <v>141533</v>
      </c>
      <c r="E2347">
        <f>IFERROR(VLOOKUP(C2347,'LEAID Match'!$A$2:$B$214,2,FALSE),"")</f>
        <v>0</v>
      </c>
    </row>
    <row r="2348" spans="1:5">
      <c r="A2348">
        <v>0</v>
      </c>
      <c r="B2348">
        <v>2018</v>
      </c>
      <c r="C2348" s="10" t="s">
        <v>257</v>
      </c>
      <c r="D2348" s="15">
        <v>191459</v>
      </c>
      <c r="E2348">
        <f>IFERROR(VLOOKUP(C2348,'LEAID Match'!$A$2:$B$214,2,FALSE),"")</f>
        <v>0</v>
      </c>
    </row>
    <row r="2349" spans="1:5">
      <c r="A2349">
        <v>0</v>
      </c>
      <c r="B2349">
        <v>2019</v>
      </c>
      <c r="C2349" s="10" t="s">
        <v>257</v>
      </c>
      <c r="D2349" s="15">
        <v>0</v>
      </c>
      <c r="E2349">
        <f>IFERROR(VLOOKUP(C2349,'LEAID Match'!$A$2:$B$214,2,FALSE),"")</f>
        <v>0</v>
      </c>
    </row>
    <row r="2350" spans="1:5">
      <c r="A2350">
        <v>0</v>
      </c>
      <c r="B2350">
        <v>2020</v>
      </c>
      <c r="C2350" s="10" t="s">
        <v>257</v>
      </c>
      <c r="D2350" s="15">
        <v>0</v>
      </c>
      <c r="E2350">
        <f>IFERROR(VLOOKUP(C2350,'LEAID Match'!$A$2:$B$214,2,FALSE),"")</f>
        <v>0</v>
      </c>
    </row>
    <row r="2351" spans="1:5">
      <c r="A2351">
        <v>0</v>
      </c>
      <c r="B2351">
        <v>2021</v>
      </c>
      <c r="C2351" s="10" t="s">
        <v>257</v>
      </c>
      <c r="D2351" s="15">
        <v>0</v>
      </c>
      <c r="E2351">
        <f>IFERROR(VLOOKUP(C2351,'LEAID Match'!$A$2:$B$214,2,FALSE),"")</f>
        <v>0</v>
      </c>
    </row>
    <row r="2352" spans="1:5">
      <c r="A2352">
        <v>0</v>
      </c>
      <c r="B2352">
        <v>2022</v>
      </c>
      <c r="C2352" s="10" t="s">
        <v>257</v>
      </c>
      <c r="D2352" s="15">
        <v>0</v>
      </c>
      <c r="E2352">
        <f>IFERROR(VLOOKUP(C2352,'LEAID Match'!$A$2:$B$214,2,FALSE),"")</f>
        <v>0</v>
      </c>
    </row>
    <row r="2353" spans="1:5">
      <c r="A2353">
        <v>0</v>
      </c>
      <c r="B2353">
        <v>2015</v>
      </c>
      <c r="C2353" s="10" t="s">
        <v>274</v>
      </c>
      <c r="D2353" s="15">
        <v>154264.21</v>
      </c>
      <c r="E2353">
        <f>IFERROR(VLOOKUP(C2353,'LEAID Match'!$A$2:$B$214,2,FALSE),"")</f>
        <v>0</v>
      </c>
    </row>
    <row r="2354" spans="1:5">
      <c r="A2354">
        <v>0</v>
      </c>
      <c r="B2354">
        <v>2016</v>
      </c>
      <c r="C2354" s="10" t="s">
        <v>274</v>
      </c>
      <c r="D2354" s="15">
        <v>176771.23</v>
      </c>
      <c r="E2354">
        <f>IFERROR(VLOOKUP(C2354,'LEAID Match'!$A$2:$B$214,2,FALSE),"")</f>
        <v>0</v>
      </c>
    </row>
    <row r="2355" spans="1:5">
      <c r="A2355">
        <v>0</v>
      </c>
      <c r="B2355">
        <v>2017</v>
      </c>
      <c r="C2355" s="10" t="s">
        <v>274</v>
      </c>
      <c r="D2355" s="15">
        <v>190185</v>
      </c>
      <c r="E2355">
        <f>IFERROR(VLOOKUP(C2355,'LEAID Match'!$A$2:$B$214,2,FALSE),"")</f>
        <v>0</v>
      </c>
    </row>
    <row r="2356" spans="1:5">
      <c r="A2356">
        <v>0</v>
      </c>
      <c r="B2356">
        <v>2018</v>
      </c>
      <c r="C2356" s="10" t="s">
        <v>274</v>
      </c>
      <c r="D2356" s="15">
        <v>225108</v>
      </c>
      <c r="E2356">
        <f>IFERROR(VLOOKUP(C2356,'LEAID Match'!$A$2:$B$214,2,FALSE),"")</f>
        <v>0</v>
      </c>
    </row>
    <row r="2357" spans="1:5">
      <c r="A2357">
        <v>0</v>
      </c>
      <c r="B2357">
        <v>2019</v>
      </c>
      <c r="C2357" s="10" t="s">
        <v>274</v>
      </c>
      <c r="D2357" s="15">
        <v>221570</v>
      </c>
      <c r="E2357">
        <f>IFERROR(VLOOKUP(C2357,'LEAID Match'!$A$2:$B$214,2,FALSE),"")</f>
        <v>0</v>
      </c>
    </row>
    <row r="2358" spans="1:5">
      <c r="A2358">
        <v>0</v>
      </c>
      <c r="B2358">
        <v>2020</v>
      </c>
      <c r="C2358" s="10" t="s">
        <v>274</v>
      </c>
      <c r="D2358" s="15">
        <v>255616</v>
      </c>
      <c r="E2358">
        <f>IFERROR(VLOOKUP(C2358,'LEAID Match'!$A$2:$B$214,2,FALSE),"")</f>
        <v>0</v>
      </c>
    </row>
    <row r="2359" spans="1:5">
      <c r="A2359">
        <v>0</v>
      </c>
      <c r="B2359">
        <v>2021</v>
      </c>
      <c r="C2359" s="10" t="s">
        <v>274</v>
      </c>
      <c r="D2359" s="15">
        <v>265525</v>
      </c>
      <c r="E2359">
        <f>IFERROR(VLOOKUP(C2359,'LEAID Match'!$A$2:$B$214,2,FALSE),"")</f>
        <v>0</v>
      </c>
    </row>
    <row r="2360" spans="1:5">
      <c r="A2360">
        <v>0</v>
      </c>
      <c r="B2360">
        <v>2022</v>
      </c>
      <c r="C2360" s="10" t="s">
        <v>274</v>
      </c>
      <c r="D2360" s="15">
        <v>660422</v>
      </c>
      <c r="E2360">
        <f>IFERROR(VLOOKUP(C2360,'LEAID Match'!$A$2:$B$214,2,FALSE),"")</f>
        <v>0</v>
      </c>
    </row>
    <row r="2361" spans="1:5">
      <c r="A2361">
        <v>0</v>
      </c>
      <c r="B2361">
        <v>2015</v>
      </c>
      <c r="C2361" s="10" t="s">
        <v>273</v>
      </c>
      <c r="D2361" s="15">
        <v>71630.759999999995</v>
      </c>
      <c r="E2361">
        <f>IFERROR(VLOOKUP(C2361,'LEAID Match'!$A$2:$B$214,2,FALSE),"")</f>
        <v>0</v>
      </c>
    </row>
    <row r="2362" spans="1:5">
      <c r="A2362">
        <v>0</v>
      </c>
      <c r="B2362">
        <v>2016</v>
      </c>
      <c r="C2362" s="10" t="s">
        <v>273</v>
      </c>
      <c r="D2362" s="15">
        <v>69202.03</v>
      </c>
      <c r="E2362">
        <f>IFERROR(VLOOKUP(C2362,'LEAID Match'!$A$2:$B$214,2,FALSE),"")</f>
        <v>0</v>
      </c>
    </row>
    <row r="2363" spans="1:5">
      <c r="A2363">
        <v>0</v>
      </c>
      <c r="B2363">
        <v>2017</v>
      </c>
      <c r="C2363" s="10" t="s">
        <v>273</v>
      </c>
      <c r="D2363" s="15">
        <v>73916</v>
      </c>
      <c r="E2363">
        <f>IFERROR(VLOOKUP(C2363,'LEAID Match'!$A$2:$B$214,2,FALSE),"")</f>
        <v>0</v>
      </c>
    </row>
    <row r="2364" spans="1:5">
      <c r="A2364">
        <v>0</v>
      </c>
      <c r="B2364">
        <v>2018</v>
      </c>
      <c r="C2364" s="10" t="s">
        <v>273</v>
      </c>
      <c r="D2364" s="15">
        <v>88355</v>
      </c>
      <c r="E2364">
        <f>IFERROR(VLOOKUP(C2364,'LEAID Match'!$A$2:$B$214,2,FALSE),"")</f>
        <v>0</v>
      </c>
    </row>
    <row r="2365" spans="1:5">
      <c r="A2365">
        <v>0</v>
      </c>
      <c r="B2365">
        <v>2019</v>
      </c>
      <c r="C2365" s="10" t="s">
        <v>273</v>
      </c>
      <c r="D2365" s="15">
        <v>0</v>
      </c>
      <c r="E2365">
        <f>IFERROR(VLOOKUP(C2365,'LEAID Match'!$A$2:$B$214,2,FALSE),"")</f>
        <v>0</v>
      </c>
    </row>
    <row r="2366" spans="1:5">
      <c r="A2366">
        <v>0</v>
      </c>
      <c r="B2366">
        <v>2020</v>
      </c>
      <c r="C2366" s="10" t="s">
        <v>273</v>
      </c>
      <c r="D2366" s="15">
        <v>0</v>
      </c>
      <c r="E2366">
        <f>IFERROR(VLOOKUP(C2366,'LEAID Match'!$A$2:$B$214,2,FALSE),"")</f>
        <v>0</v>
      </c>
    </row>
    <row r="2367" spans="1:5">
      <c r="A2367">
        <v>0</v>
      </c>
      <c r="B2367">
        <v>2021</v>
      </c>
      <c r="C2367" s="10" t="s">
        <v>273</v>
      </c>
      <c r="D2367" s="15">
        <v>0</v>
      </c>
      <c r="E2367">
        <f>IFERROR(VLOOKUP(C2367,'LEAID Match'!$A$2:$B$214,2,FALSE),"")</f>
        <v>0</v>
      </c>
    </row>
    <row r="2368" spans="1:5">
      <c r="A2368">
        <v>0</v>
      </c>
      <c r="B2368">
        <v>2022</v>
      </c>
      <c r="C2368" s="10" t="s">
        <v>273</v>
      </c>
      <c r="D2368" s="15">
        <v>0</v>
      </c>
      <c r="E2368">
        <f>IFERROR(VLOOKUP(C2368,'LEAID Match'!$A$2:$B$214,2,FALSE),"")</f>
        <v>0</v>
      </c>
    </row>
    <row r="2369" spans="1:5">
      <c r="A2369">
        <v>0</v>
      </c>
      <c r="B2369">
        <v>2015</v>
      </c>
      <c r="C2369" s="10" t="s">
        <v>278</v>
      </c>
      <c r="D2369" s="15">
        <v>160383.65</v>
      </c>
      <c r="E2369">
        <f>IFERROR(VLOOKUP(C2369,'LEAID Match'!$A$2:$B$214,2,FALSE),"")</f>
        <v>0</v>
      </c>
    </row>
    <row r="2370" spans="1:5">
      <c r="A2370">
        <v>0</v>
      </c>
      <c r="B2370">
        <v>2016</v>
      </c>
      <c r="C2370" s="10" t="s">
        <v>278</v>
      </c>
      <c r="D2370" s="15">
        <v>136060.5</v>
      </c>
      <c r="E2370">
        <f>IFERROR(VLOOKUP(C2370,'LEAID Match'!$A$2:$B$214,2,FALSE),"")</f>
        <v>0</v>
      </c>
    </row>
    <row r="2371" spans="1:5">
      <c r="A2371">
        <v>0</v>
      </c>
      <c r="B2371">
        <v>2017</v>
      </c>
      <c r="C2371" s="10" t="s">
        <v>278</v>
      </c>
      <c r="D2371" s="15">
        <v>136519</v>
      </c>
      <c r="E2371">
        <f>IFERROR(VLOOKUP(C2371,'LEAID Match'!$A$2:$B$214,2,FALSE),"")</f>
        <v>0</v>
      </c>
    </row>
    <row r="2372" spans="1:5">
      <c r="A2372">
        <v>0</v>
      </c>
      <c r="B2372">
        <v>2018</v>
      </c>
      <c r="C2372" s="10" t="s">
        <v>278</v>
      </c>
      <c r="D2372" s="15">
        <v>170285</v>
      </c>
      <c r="E2372">
        <f>IFERROR(VLOOKUP(C2372,'LEAID Match'!$A$2:$B$214,2,FALSE),"")</f>
        <v>0</v>
      </c>
    </row>
    <row r="2373" spans="1:5">
      <c r="A2373">
        <v>0</v>
      </c>
      <c r="B2373">
        <v>2019</v>
      </c>
      <c r="C2373" s="10" t="s">
        <v>278</v>
      </c>
      <c r="D2373" s="15">
        <v>0</v>
      </c>
      <c r="E2373">
        <f>IFERROR(VLOOKUP(C2373,'LEAID Match'!$A$2:$B$214,2,FALSE),"")</f>
        <v>0</v>
      </c>
    </row>
    <row r="2374" spans="1:5">
      <c r="A2374">
        <v>0</v>
      </c>
      <c r="B2374">
        <v>2020</v>
      </c>
      <c r="C2374" s="10" t="s">
        <v>278</v>
      </c>
      <c r="D2374" s="15">
        <v>0</v>
      </c>
      <c r="E2374">
        <f>IFERROR(VLOOKUP(C2374,'LEAID Match'!$A$2:$B$214,2,FALSE),"")</f>
        <v>0</v>
      </c>
    </row>
    <row r="2375" spans="1:5">
      <c r="A2375">
        <v>0</v>
      </c>
      <c r="B2375">
        <v>2021</v>
      </c>
      <c r="C2375" s="10" t="s">
        <v>278</v>
      </c>
      <c r="D2375" s="15">
        <v>0</v>
      </c>
      <c r="E2375">
        <f>IFERROR(VLOOKUP(C2375,'LEAID Match'!$A$2:$B$214,2,FALSE),"")</f>
        <v>0</v>
      </c>
    </row>
    <row r="2376" spans="1:5">
      <c r="A2376">
        <v>0</v>
      </c>
      <c r="B2376">
        <v>2022</v>
      </c>
      <c r="C2376" s="10" t="s">
        <v>278</v>
      </c>
      <c r="D2376" s="15">
        <v>0</v>
      </c>
      <c r="E2376">
        <f>IFERROR(VLOOKUP(C2376,'LEAID Match'!$A$2:$B$214,2,FALSE),"")</f>
        <v>0</v>
      </c>
    </row>
    <row r="2377" spans="1:5">
      <c r="A2377">
        <v>0</v>
      </c>
      <c r="B2377">
        <v>2015</v>
      </c>
      <c r="C2377" s="10" t="s">
        <v>280</v>
      </c>
      <c r="D2377" s="15">
        <v>614462.12</v>
      </c>
      <c r="E2377">
        <f>IFERROR(VLOOKUP(C2377,'LEAID Match'!$A$2:$B$214,2,FALSE),"")</f>
        <v>0</v>
      </c>
    </row>
    <row r="2378" spans="1:5">
      <c r="A2378">
        <v>0</v>
      </c>
      <c r="B2378">
        <v>2016</v>
      </c>
      <c r="C2378" s="10" t="s">
        <v>280</v>
      </c>
      <c r="D2378" s="15">
        <v>586640.06999999995</v>
      </c>
      <c r="E2378">
        <f>IFERROR(VLOOKUP(C2378,'LEAID Match'!$A$2:$B$214,2,FALSE),"")</f>
        <v>0</v>
      </c>
    </row>
    <row r="2379" spans="1:5">
      <c r="A2379">
        <v>0</v>
      </c>
      <c r="B2379">
        <v>2017</v>
      </c>
      <c r="C2379" s="10" t="s">
        <v>280</v>
      </c>
      <c r="D2379" s="15">
        <v>660339</v>
      </c>
      <c r="E2379">
        <f>IFERROR(VLOOKUP(C2379,'LEAID Match'!$A$2:$B$214,2,FALSE),"")</f>
        <v>0</v>
      </c>
    </row>
    <row r="2380" spans="1:5">
      <c r="A2380">
        <v>0</v>
      </c>
      <c r="B2380">
        <v>2018</v>
      </c>
      <c r="C2380" s="10" t="s">
        <v>280</v>
      </c>
      <c r="D2380" s="15">
        <v>917143</v>
      </c>
      <c r="E2380">
        <f>IFERROR(VLOOKUP(C2380,'LEAID Match'!$A$2:$B$214,2,FALSE),"")</f>
        <v>0</v>
      </c>
    </row>
    <row r="2381" spans="1:5">
      <c r="A2381">
        <v>0</v>
      </c>
      <c r="B2381">
        <v>2019</v>
      </c>
      <c r="C2381" s="10" t="s">
        <v>280</v>
      </c>
      <c r="D2381" s="15">
        <v>968813</v>
      </c>
      <c r="E2381">
        <f>IFERROR(VLOOKUP(C2381,'LEAID Match'!$A$2:$B$214,2,FALSE),"")</f>
        <v>0</v>
      </c>
    </row>
    <row r="2382" spans="1:5">
      <c r="A2382">
        <v>0</v>
      </c>
      <c r="B2382">
        <v>2020</v>
      </c>
      <c r="C2382" s="10" t="s">
        <v>280</v>
      </c>
      <c r="D2382" s="15">
        <v>1007879</v>
      </c>
      <c r="E2382">
        <f>IFERROR(VLOOKUP(C2382,'LEAID Match'!$A$2:$B$214,2,FALSE),"")</f>
        <v>0</v>
      </c>
    </row>
    <row r="2383" spans="1:5">
      <c r="A2383">
        <v>0</v>
      </c>
      <c r="B2383">
        <v>2021</v>
      </c>
      <c r="C2383" s="10" t="s">
        <v>280</v>
      </c>
      <c r="D2383" s="15">
        <v>1070793</v>
      </c>
      <c r="E2383">
        <f>IFERROR(VLOOKUP(C2383,'LEAID Match'!$A$2:$B$214,2,FALSE),"")</f>
        <v>0</v>
      </c>
    </row>
    <row r="2384" spans="1:5">
      <c r="A2384">
        <v>0</v>
      </c>
      <c r="B2384">
        <v>2022</v>
      </c>
      <c r="C2384" s="10" t="s">
        <v>280</v>
      </c>
      <c r="D2384" s="15">
        <v>2333912</v>
      </c>
      <c r="E2384">
        <f>IFERROR(VLOOKUP(C2384,'LEAID Match'!$A$2:$B$214,2,FALSE),"")</f>
        <v>0</v>
      </c>
    </row>
    <row r="2385" spans="1:5">
      <c r="A2385">
        <v>0</v>
      </c>
      <c r="B2385">
        <v>2015</v>
      </c>
      <c r="C2385" s="10" t="s">
        <v>213</v>
      </c>
      <c r="D2385" s="15">
        <v>12935.92</v>
      </c>
      <c r="E2385">
        <f>IFERROR(VLOOKUP(C2385,'LEAID Match'!$A$2:$B$214,2,FALSE),"")</f>
        <v>0</v>
      </c>
    </row>
    <row r="2386" spans="1:5">
      <c r="A2386">
        <v>0</v>
      </c>
      <c r="B2386">
        <v>2016</v>
      </c>
      <c r="C2386" s="10" t="s">
        <v>213</v>
      </c>
      <c r="D2386" s="15">
        <v>12633.94</v>
      </c>
      <c r="E2386">
        <f>IFERROR(VLOOKUP(C2386,'LEAID Match'!$A$2:$B$214,2,FALSE),"")</f>
        <v>0</v>
      </c>
    </row>
    <row r="2387" spans="1:5">
      <c r="A2387">
        <v>0</v>
      </c>
      <c r="B2387">
        <v>2017</v>
      </c>
      <c r="C2387" s="10" t="s">
        <v>213</v>
      </c>
      <c r="D2387" s="15">
        <v>21300</v>
      </c>
      <c r="E2387">
        <f>IFERROR(VLOOKUP(C2387,'LEAID Match'!$A$2:$B$214,2,FALSE),"")</f>
        <v>0</v>
      </c>
    </row>
    <row r="2388" spans="1:5">
      <c r="A2388">
        <v>0</v>
      </c>
      <c r="B2388">
        <v>2018</v>
      </c>
      <c r="C2388" s="10" t="s">
        <v>213</v>
      </c>
      <c r="D2388" s="15">
        <v>31401</v>
      </c>
      <c r="E2388">
        <f>IFERROR(VLOOKUP(C2388,'LEAID Match'!$A$2:$B$214,2,FALSE),"")</f>
        <v>0</v>
      </c>
    </row>
    <row r="2389" spans="1:5">
      <c r="A2389">
        <v>0</v>
      </c>
      <c r="B2389">
        <v>2019</v>
      </c>
      <c r="C2389" s="10" t="s">
        <v>213</v>
      </c>
      <c r="D2389" s="15">
        <v>28401</v>
      </c>
      <c r="E2389">
        <f>IFERROR(VLOOKUP(C2389,'LEAID Match'!$A$2:$B$214,2,FALSE),"")</f>
        <v>0</v>
      </c>
    </row>
    <row r="2390" spans="1:5">
      <c r="A2390">
        <v>0</v>
      </c>
      <c r="B2390">
        <v>2020</v>
      </c>
      <c r="C2390" s="10" t="s">
        <v>213</v>
      </c>
      <c r="D2390" s="15">
        <v>31936</v>
      </c>
      <c r="E2390">
        <f>IFERROR(VLOOKUP(C2390,'LEAID Match'!$A$2:$B$214,2,FALSE),"")</f>
        <v>0</v>
      </c>
    </row>
    <row r="2391" spans="1:5">
      <c r="A2391">
        <v>0</v>
      </c>
      <c r="B2391">
        <v>2021</v>
      </c>
      <c r="C2391" s="10" t="s">
        <v>213</v>
      </c>
      <c r="D2391" s="15">
        <v>24943</v>
      </c>
      <c r="E2391">
        <f>IFERROR(VLOOKUP(C2391,'LEAID Match'!$A$2:$B$214,2,FALSE),"")</f>
        <v>0</v>
      </c>
    </row>
    <row r="2392" spans="1:5">
      <c r="A2392">
        <v>0</v>
      </c>
      <c r="B2392">
        <v>2022</v>
      </c>
      <c r="C2392" s="10" t="s">
        <v>213</v>
      </c>
      <c r="D2392" s="15">
        <v>59428</v>
      </c>
      <c r="E2392">
        <f>IFERROR(VLOOKUP(C2392,'LEAID Match'!$A$2:$B$214,2,FALSE),"")</f>
        <v>0</v>
      </c>
    </row>
    <row r="2393" spans="1:5">
      <c r="A2393">
        <v>0</v>
      </c>
      <c r="B2393">
        <v>2015</v>
      </c>
      <c r="C2393" s="10" t="s">
        <v>185</v>
      </c>
      <c r="D2393" s="15">
        <v>105146.08</v>
      </c>
      <c r="E2393">
        <f>IFERROR(VLOOKUP(C2393,'LEAID Match'!$A$2:$B$214,2,FALSE),"")</f>
        <v>0</v>
      </c>
    </row>
    <row r="2394" spans="1:5">
      <c r="A2394">
        <v>0</v>
      </c>
      <c r="B2394">
        <v>2016</v>
      </c>
      <c r="C2394" s="10" t="s">
        <v>185</v>
      </c>
      <c r="D2394" s="15">
        <v>113800.82</v>
      </c>
      <c r="E2394">
        <f>IFERROR(VLOOKUP(C2394,'LEAID Match'!$A$2:$B$214,2,FALSE),"")</f>
        <v>0</v>
      </c>
    </row>
    <row r="2395" spans="1:5">
      <c r="A2395">
        <v>0</v>
      </c>
      <c r="B2395">
        <v>2017</v>
      </c>
      <c r="C2395" s="10" t="s">
        <v>185</v>
      </c>
      <c r="D2395" s="15">
        <v>125463</v>
      </c>
      <c r="E2395">
        <f>IFERROR(VLOOKUP(C2395,'LEAID Match'!$A$2:$B$214,2,FALSE),"")</f>
        <v>0</v>
      </c>
    </row>
    <row r="2396" spans="1:5">
      <c r="A2396">
        <v>0</v>
      </c>
      <c r="B2396">
        <v>2018</v>
      </c>
      <c r="C2396" s="10" t="s">
        <v>185</v>
      </c>
      <c r="D2396" s="15">
        <v>180374</v>
      </c>
      <c r="E2396">
        <f>IFERROR(VLOOKUP(C2396,'LEAID Match'!$A$2:$B$214,2,FALSE),"")</f>
        <v>0</v>
      </c>
    </row>
    <row r="2397" spans="1:5">
      <c r="A2397">
        <v>0</v>
      </c>
      <c r="B2397">
        <v>2019</v>
      </c>
      <c r="C2397" s="10" t="s">
        <v>185</v>
      </c>
      <c r="D2397" s="15">
        <v>0</v>
      </c>
      <c r="E2397">
        <f>IFERROR(VLOOKUP(C2397,'LEAID Match'!$A$2:$B$214,2,FALSE),"")</f>
        <v>0</v>
      </c>
    </row>
    <row r="2398" spans="1:5">
      <c r="A2398">
        <v>0</v>
      </c>
      <c r="B2398">
        <v>2020</v>
      </c>
      <c r="C2398" s="10" t="s">
        <v>185</v>
      </c>
      <c r="D2398" s="15">
        <v>0</v>
      </c>
      <c r="E2398">
        <f>IFERROR(VLOOKUP(C2398,'LEAID Match'!$A$2:$B$214,2,FALSE),"")</f>
        <v>0</v>
      </c>
    </row>
    <row r="2399" spans="1:5">
      <c r="A2399">
        <v>0</v>
      </c>
      <c r="B2399">
        <v>2021</v>
      </c>
      <c r="C2399" s="10" t="s">
        <v>185</v>
      </c>
      <c r="D2399" s="15">
        <v>0</v>
      </c>
      <c r="E2399">
        <f>IFERROR(VLOOKUP(C2399,'LEAID Match'!$A$2:$B$214,2,FALSE),"")</f>
        <v>0</v>
      </c>
    </row>
    <row r="2400" spans="1:5">
      <c r="A2400">
        <v>0</v>
      </c>
      <c r="B2400">
        <v>2022</v>
      </c>
      <c r="C2400" s="10" t="s">
        <v>185</v>
      </c>
      <c r="D2400" s="15">
        <v>0</v>
      </c>
      <c r="E2400">
        <f>IFERROR(VLOOKUP(C2400,'LEAID Match'!$A$2:$B$214,2,FALSE),"")</f>
        <v>0</v>
      </c>
    </row>
    <row r="2401" spans="1:5">
      <c r="A2401">
        <v>0</v>
      </c>
      <c r="B2401">
        <v>2015</v>
      </c>
      <c r="C2401" s="10" t="s">
        <v>184</v>
      </c>
      <c r="D2401" s="15">
        <v>174925.58</v>
      </c>
      <c r="E2401">
        <f>IFERROR(VLOOKUP(C2401,'LEAID Match'!$A$2:$B$214,2,FALSE),"")</f>
        <v>0</v>
      </c>
    </row>
    <row r="2402" spans="1:5">
      <c r="A2402">
        <v>0</v>
      </c>
      <c r="B2402">
        <v>2016</v>
      </c>
      <c r="C2402" s="10" t="s">
        <v>184</v>
      </c>
      <c r="D2402" s="15">
        <v>160613.48000000001</v>
      </c>
      <c r="E2402">
        <f>IFERROR(VLOOKUP(C2402,'LEAID Match'!$A$2:$B$214,2,FALSE),"")</f>
        <v>0</v>
      </c>
    </row>
    <row r="2403" spans="1:5">
      <c r="A2403">
        <v>0</v>
      </c>
      <c r="B2403">
        <v>2017</v>
      </c>
      <c r="C2403" s="10" t="s">
        <v>184</v>
      </c>
      <c r="D2403" s="15">
        <v>170384</v>
      </c>
      <c r="E2403">
        <f>IFERROR(VLOOKUP(C2403,'LEAID Match'!$A$2:$B$214,2,FALSE),"")</f>
        <v>0</v>
      </c>
    </row>
    <row r="2404" spans="1:5">
      <c r="A2404">
        <v>0</v>
      </c>
      <c r="B2404">
        <v>2018</v>
      </c>
      <c r="C2404" s="10" t="s">
        <v>184</v>
      </c>
      <c r="D2404" s="15">
        <v>241187</v>
      </c>
      <c r="E2404">
        <f>IFERROR(VLOOKUP(C2404,'LEAID Match'!$A$2:$B$214,2,FALSE),"")</f>
        <v>0</v>
      </c>
    </row>
    <row r="2405" spans="1:5">
      <c r="A2405">
        <v>0</v>
      </c>
      <c r="B2405">
        <v>2019</v>
      </c>
      <c r="C2405" s="10" t="s">
        <v>184</v>
      </c>
      <c r="D2405" s="15">
        <v>0</v>
      </c>
      <c r="E2405">
        <f>IFERROR(VLOOKUP(C2405,'LEAID Match'!$A$2:$B$214,2,FALSE),"")</f>
        <v>0</v>
      </c>
    </row>
    <row r="2406" spans="1:5">
      <c r="A2406">
        <v>0</v>
      </c>
      <c r="B2406">
        <v>2020</v>
      </c>
      <c r="C2406" s="10" t="s">
        <v>184</v>
      </c>
      <c r="D2406" s="15">
        <v>0</v>
      </c>
      <c r="E2406">
        <f>IFERROR(VLOOKUP(C2406,'LEAID Match'!$A$2:$B$214,2,FALSE),"")</f>
        <v>0</v>
      </c>
    </row>
    <row r="2407" spans="1:5">
      <c r="A2407">
        <v>0</v>
      </c>
      <c r="B2407">
        <v>2021</v>
      </c>
      <c r="C2407" s="10" t="s">
        <v>184</v>
      </c>
      <c r="D2407" s="15">
        <v>0</v>
      </c>
      <c r="E2407">
        <f>IFERROR(VLOOKUP(C2407,'LEAID Match'!$A$2:$B$214,2,FALSE),"")</f>
        <v>0</v>
      </c>
    </row>
    <row r="2408" spans="1:5">
      <c r="A2408">
        <v>0</v>
      </c>
      <c r="B2408">
        <v>2022</v>
      </c>
      <c r="C2408" s="10" t="s">
        <v>184</v>
      </c>
      <c r="D2408" s="15">
        <v>0</v>
      </c>
      <c r="E2408">
        <f>IFERROR(VLOOKUP(C2408,'LEAID Match'!$A$2:$B$214,2,FALSE),"")</f>
        <v>0</v>
      </c>
    </row>
  </sheetData>
  <autoFilter ref="A1:E1" xr:uid="{7D76A57B-D531-2D46-B875-E8D36824D04E}">
    <sortState xmlns:xlrd2="http://schemas.microsoft.com/office/spreadsheetml/2017/richdata2" ref="A2:E2408">
      <sortCondition descending="1" ref="E1:E240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321E-EA77-7043-8C93-1442E4A1FFFF}">
  <sheetPr>
    <tabColor rgb="FFFF0000"/>
  </sheetPr>
  <dimension ref="A1"/>
  <sheetViews>
    <sheetView workbookViewId="0">
      <selection activeCell="D19" sqref="D19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212D-7327-BF43-8F4A-841AA5C3EB07}">
  <sheetPr>
    <tabColor rgb="FFFFFF00"/>
  </sheetPr>
  <dimension ref="A1:O299"/>
  <sheetViews>
    <sheetView workbookViewId="0">
      <selection activeCell="D1" activeCellId="2" sqref="A1:A1048576 C1:C1048576 D1:D1048576"/>
    </sheetView>
  </sheetViews>
  <sheetFormatPr baseColWidth="10" defaultRowHeight="16"/>
  <cols>
    <col min="2" max="2" width="15.6640625" style="10" bestFit="1" customWidth="1"/>
    <col min="3" max="3" width="30.6640625" style="10" bestFit="1" customWidth="1"/>
    <col min="4" max="4" width="18.83203125" style="10" bestFit="1" customWidth="1"/>
    <col min="5" max="5" width="11" style="9" bestFit="1" customWidth="1"/>
    <col min="6" max="6" width="12.6640625" style="9" bestFit="1" customWidth="1"/>
    <col min="7" max="8" width="11.5" style="9" bestFit="1" customWidth="1"/>
    <col min="9" max="10" width="11" style="9" bestFit="1" customWidth="1"/>
    <col min="11" max="12" width="11.5" style="9" bestFit="1" customWidth="1"/>
    <col min="13" max="14" width="10.83203125" style="9"/>
  </cols>
  <sheetData>
    <row r="1" spans="1:12">
      <c r="A1" t="s">
        <v>356</v>
      </c>
      <c r="B1" s="10" t="s">
        <v>292</v>
      </c>
      <c r="C1" s="10" t="s">
        <v>293</v>
      </c>
      <c r="D1" s="10" t="s">
        <v>294</v>
      </c>
    </row>
    <row r="2" spans="1:12">
      <c r="A2">
        <v>2015</v>
      </c>
      <c r="B2" s="10">
        <v>300100</v>
      </c>
      <c r="C2" s="10" t="s">
        <v>0</v>
      </c>
      <c r="D2" s="11">
        <v>56010.18</v>
      </c>
      <c r="E2" s="6"/>
      <c r="F2" s="7"/>
      <c r="G2" s="7"/>
      <c r="H2" s="7"/>
      <c r="I2" s="7"/>
      <c r="J2" s="7"/>
      <c r="K2" s="7"/>
      <c r="L2" s="7"/>
    </row>
    <row r="3" spans="1:12">
      <c r="A3">
        <v>2015</v>
      </c>
      <c r="B3" s="10">
        <v>300200</v>
      </c>
      <c r="C3" s="10" t="s">
        <v>1</v>
      </c>
      <c r="D3" s="11">
        <v>59865.38</v>
      </c>
      <c r="E3" s="6"/>
      <c r="F3" s="7"/>
      <c r="G3" s="7"/>
      <c r="H3" s="7"/>
      <c r="I3" s="7"/>
      <c r="J3" s="5"/>
      <c r="K3" s="7"/>
      <c r="L3" s="7"/>
    </row>
    <row r="4" spans="1:12">
      <c r="A4">
        <v>2015</v>
      </c>
      <c r="B4" s="10">
        <v>300300</v>
      </c>
      <c r="C4" s="10" t="s">
        <v>2</v>
      </c>
      <c r="D4" s="11">
        <v>163807.84</v>
      </c>
      <c r="E4" s="6"/>
      <c r="F4" s="7"/>
      <c r="G4" s="7"/>
      <c r="H4" s="7"/>
      <c r="I4" s="7"/>
      <c r="J4" s="7"/>
      <c r="K4" s="7"/>
      <c r="L4" s="7"/>
    </row>
    <row r="5" spans="1:12">
      <c r="A5">
        <v>2015</v>
      </c>
      <c r="B5" s="10">
        <v>300500</v>
      </c>
      <c r="C5" s="10" t="s">
        <v>3</v>
      </c>
      <c r="D5" s="11">
        <v>349530.48</v>
      </c>
      <c r="E5" s="6"/>
      <c r="F5" s="7"/>
      <c r="G5" s="7"/>
      <c r="H5" s="7"/>
      <c r="I5" s="7"/>
      <c r="J5" s="5"/>
      <c r="K5" s="7"/>
      <c r="L5" s="7"/>
    </row>
    <row r="6" spans="1:12">
      <c r="A6">
        <v>2015</v>
      </c>
      <c r="B6" s="10">
        <v>300700</v>
      </c>
      <c r="C6" s="10" t="s">
        <v>4</v>
      </c>
      <c r="D6" s="11">
        <v>71031.100000000006</v>
      </c>
      <c r="E6" s="6"/>
      <c r="F6" s="7"/>
      <c r="G6" s="7"/>
      <c r="H6" s="7"/>
      <c r="I6" s="7"/>
      <c r="J6" s="7"/>
      <c r="K6" s="7"/>
      <c r="L6" s="7"/>
    </row>
    <row r="7" spans="1:12">
      <c r="A7">
        <v>2015</v>
      </c>
      <c r="B7" s="10">
        <v>300900</v>
      </c>
      <c r="C7" s="10" t="s">
        <v>5</v>
      </c>
      <c r="D7" s="11">
        <v>54919.37</v>
      </c>
      <c r="E7" s="6"/>
      <c r="F7" s="7"/>
      <c r="G7" s="7"/>
      <c r="H7" s="7"/>
      <c r="I7" s="7"/>
      <c r="J7" s="7"/>
      <c r="K7" s="7"/>
      <c r="L7" s="7"/>
    </row>
    <row r="8" spans="1:12">
      <c r="A8">
        <v>2015</v>
      </c>
      <c r="B8" s="10">
        <v>301000</v>
      </c>
      <c r="C8" s="10" t="s">
        <v>6</v>
      </c>
      <c r="D8" s="11">
        <v>165974.81</v>
      </c>
      <c r="E8" s="6"/>
      <c r="F8" s="7"/>
      <c r="G8" s="7"/>
      <c r="H8" s="7"/>
      <c r="I8" s="7"/>
      <c r="J8" s="7"/>
      <c r="K8" s="7"/>
      <c r="L8" s="7"/>
    </row>
    <row r="9" spans="1:12">
      <c r="A9">
        <v>2015</v>
      </c>
      <c r="B9" s="10">
        <v>301100</v>
      </c>
      <c r="C9" s="10" t="s">
        <v>7</v>
      </c>
      <c r="D9" s="11">
        <v>668933.74</v>
      </c>
      <c r="E9" s="6"/>
      <c r="F9" s="7"/>
      <c r="G9" s="7"/>
      <c r="H9" s="7"/>
      <c r="I9" s="7"/>
      <c r="J9" s="5"/>
      <c r="K9" s="7"/>
      <c r="L9" s="7"/>
    </row>
    <row r="10" spans="1:12">
      <c r="A10">
        <v>2015</v>
      </c>
      <c r="B10" s="10">
        <v>301200</v>
      </c>
      <c r="C10" s="10" t="s">
        <v>8</v>
      </c>
      <c r="D10" s="11">
        <v>527849.27</v>
      </c>
      <c r="E10" s="6"/>
      <c r="F10" s="7"/>
      <c r="G10" s="7"/>
      <c r="H10" s="7"/>
      <c r="I10" s="7"/>
      <c r="J10" s="5"/>
      <c r="K10" s="7"/>
      <c r="L10" s="7"/>
    </row>
    <row r="11" spans="1:12">
      <c r="A11">
        <v>2015</v>
      </c>
      <c r="B11" s="10">
        <v>301300</v>
      </c>
      <c r="C11" s="10" t="s">
        <v>9</v>
      </c>
      <c r="D11" s="11">
        <v>110989.81</v>
      </c>
      <c r="E11" s="6"/>
      <c r="F11" s="7"/>
      <c r="G11" s="7"/>
      <c r="H11" s="7"/>
      <c r="I11" s="7"/>
      <c r="J11" s="5"/>
      <c r="K11" s="7"/>
      <c r="L11" s="7"/>
    </row>
    <row r="12" spans="1:12">
      <c r="A12">
        <v>2015</v>
      </c>
      <c r="B12" s="10">
        <v>301600</v>
      </c>
      <c r="C12" s="10" t="s">
        <v>10</v>
      </c>
      <c r="D12" s="11">
        <v>408793.46</v>
      </c>
      <c r="E12" s="6"/>
      <c r="F12" s="7"/>
      <c r="G12" s="7"/>
      <c r="H12" s="7"/>
      <c r="I12" s="7"/>
      <c r="J12" s="7"/>
      <c r="K12" s="7"/>
      <c r="L12" s="7"/>
    </row>
    <row r="13" spans="1:12">
      <c r="A13">
        <v>2015</v>
      </c>
      <c r="B13" s="10">
        <v>301800</v>
      </c>
      <c r="C13" s="10" t="s">
        <v>11</v>
      </c>
      <c r="D13" s="11">
        <v>46477</v>
      </c>
      <c r="E13" s="6"/>
      <c r="F13" s="7"/>
      <c r="G13" s="7"/>
      <c r="H13" s="7"/>
      <c r="I13" s="7"/>
      <c r="J13" s="7"/>
      <c r="K13" s="7"/>
      <c r="L13" s="7"/>
    </row>
    <row r="14" spans="1:12">
      <c r="A14">
        <v>2015</v>
      </c>
      <c r="B14" s="10">
        <v>301900</v>
      </c>
      <c r="C14" s="10" t="s">
        <v>12</v>
      </c>
      <c r="D14" s="11">
        <v>90511.98</v>
      </c>
      <c r="E14" s="6"/>
      <c r="F14" s="7"/>
      <c r="G14" s="7"/>
      <c r="H14" s="7"/>
      <c r="I14" s="7"/>
      <c r="J14" s="5"/>
      <c r="K14" s="7"/>
      <c r="L14" s="7"/>
    </row>
    <row r="15" spans="1:12">
      <c r="A15">
        <v>2015</v>
      </c>
      <c r="B15" s="10">
        <v>302000</v>
      </c>
      <c r="C15" s="10" t="s">
        <v>13</v>
      </c>
      <c r="D15" s="11">
        <v>137260.91</v>
      </c>
      <c r="E15" s="6"/>
      <c r="F15" s="7"/>
      <c r="G15" s="7"/>
      <c r="H15" s="7"/>
      <c r="I15" s="7"/>
      <c r="J15" s="7"/>
      <c r="K15" s="7"/>
      <c r="L15" s="7"/>
    </row>
    <row r="16" spans="1:12">
      <c r="A16">
        <v>2015</v>
      </c>
      <c r="B16" s="10">
        <v>302100</v>
      </c>
      <c r="C16" s="10" t="s">
        <v>14</v>
      </c>
      <c r="D16" s="11">
        <v>192105.89</v>
      </c>
      <c r="E16" s="6"/>
      <c r="F16" s="7"/>
      <c r="G16" s="7"/>
      <c r="H16" s="7"/>
      <c r="I16" s="7"/>
      <c r="J16" s="7"/>
      <c r="K16" s="7"/>
      <c r="L16" s="7"/>
    </row>
    <row r="17" spans="1:12">
      <c r="A17">
        <v>2015</v>
      </c>
      <c r="B17" s="10">
        <v>302400</v>
      </c>
      <c r="C17" s="10" t="s">
        <v>15</v>
      </c>
      <c r="D17" s="11">
        <v>28131.89</v>
      </c>
      <c r="E17" s="6"/>
      <c r="F17" s="7"/>
      <c r="G17" s="7"/>
      <c r="H17" s="7"/>
      <c r="I17" s="7"/>
      <c r="J17" s="7"/>
      <c r="K17" s="7"/>
      <c r="L17" s="7"/>
    </row>
    <row r="18" spans="1:12">
      <c r="A18">
        <v>2015</v>
      </c>
      <c r="B18" s="10">
        <v>302500</v>
      </c>
      <c r="C18" s="10" t="s">
        <v>16</v>
      </c>
      <c r="D18" s="11">
        <v>168759.34</v>
      </c>
      <c r="E18" s="6"/>
      <c r="F18" s="7"/>
      <c r="G18" s="7"/>
      <c r="H18" s="7"/>
      <c r="I18" s="7"/>
      <c r="J18" s="5"/>
      <c r="K18" s="7"/>
      <c r="L18" s="7"/>
    </row>
    <row r="19" spans="1:12">
      <c r="A19">
        <v>2015</v>
      </c>
      <c r="B19" s="10">
        <v>302600</v>
      </c>
      <c r="C19" s="10" t="s">
        <v>17</v>
      </c>
      <c r="D19" s="11">
        <v>43590.239999999998</v>
      </c>
      <c r="E19" s="6"/>
      <c r="F19" s="7"/>
      <c r="G19" s="7"/>
      <c r="H19" s="7"/>
      <c r="I19" s="7"/>
      <c r="J19" s="7"/>
      <c r="K19" s="7"/>
      <c r="L19" s="7"/>
    </row>
    <row r="20" spans="1:12">
      <c r="A20">
        <v>2015</v>
      </c>
      <c r="B20" s="10">
        <v>302800</v>
      </c>
      <c r="C20" s="10" t="s">
        <v>18</v>
      </c>
      <c r="D20" s="11">
        <v>216505.46</v>
      </c>
      <c r="E20" s="6"/>
      <c r="F20" s="7"/>
      <c r="G20" s="7"/>
      <c r="H20" s="7"/>
      <c r="I20" s="7"/>
      <c r="J20" s="7"/>
      <c r="K20" s="7"/>
      <c r="L20" s="7"/>
    </row>
    <row r="21" spans="1:12">
      <c r="A21">
        <v>2015</v>
      </c>
      <c r="B21" s="10">
        <v>302900</v>
      </c>
      <c r="C21" s="10" t="s">
        <v>19</v>
      </c>
      <c r="D21" s="11">
        <v>532210.14</v>
      </c>
      <c r="E21" s="6"/>
      <c r="F21" s="7"/>
      <c r="G21" s="7"/>
      <c r="H21" s="7"/>
      <c r="I21" s="7"/>
      <c r="J21" s="7"/>
      <c r="K21" s="7"/>
      <c r="L21" s="7"/>
    </row>
    <row r="22" spans="1:12">
      <c r="A22">
        <v>2015</v>
      </c>
      <c r="B22" s="10">
        <v>303000</v>
      </c>
      <c r="C22" s="10" t="s">
        <v>20</v>
      </c>
      <c r="D22" s="11">
        <v>6424.3</v>
      </c>
      <c r="E22" s="6"/>
      <c r="F22" s="7"/>
      <c r="G22" s="7"/>
      <c r="H22" s="7"/>
      <c r="I22" s="7"/>
      <c r="J22" s="7"/>
      <c r="K22" s="7"/>
      <c r="L22" s="7"/>
    </row>
    <row r="23" spans="1:12">
      <c r="A23">
        <v>2015</v>
      </c>
      <c r="B23" s="10">
        <v>303100</v>
      </c>
      <c r="C23" s="10" t="s">
        <v>21</v>
      </c>
      <c r="D23" s="11">
        <v>34522.99</v>
      </c>
      <c r="E23" s="6"/>
      <c r="F23" s="7"/>
      <c r="G23" s="7"/>
      <c r="H23" s="7"/>
      <c r="I23" s="7"/>
      <c r="J23" s="7"/>
      <c r="K23" s="7"/>
      <c r="L23" s="7"/>
    </row>
    <row r="24" spans="1:12">
      <c r="A24">
        <v>2015</v>
      </c>
      <c r="B24" s="10">
        <v>303200</v>
      </c>
      <c r="C24" s="10" t="s">
        <v>22</v>
      </c>
      <c r="D24" s="11">
        <v>100961.7</v>
      </c>
      <c r="E24" s="6"/>
      <c r="F24" s="7"/>
      <c r="G24" s="7"/>
      <c r="H24" s="7"/>
      <c r="I24" s="7"/>
      <c r="J24" s="5"/>
      <c r="K24" s="7"/>
      <c r="L24" s="7"/>
    </row>
    <row r="25" spans="1:12">
      <c r="A25">
        <v>2015</v>
      </c>
      <c r="B25" s="10">
        <v>303300</v>
      </c>
      <c r="C25" s="10" t="s">
        <v>23</v>
      </c>
      <c r="D25" s="11">
        <v>249462.58</v>
      </c>
      <c r="E25" s="6"/>
      <c r="F25" s="7"/>
      <c r="G25" s="7"/>
      <c r="H25" s="7"/>
      <c r="I25" s="7"/>
      <c r="J25" s="5"/>
      <c r="K25" s="7"/>
      <c r="L25" s="7"/>
    </row>
    <row r="26" spans="1:12">
      <c r="A26">
        <v>2015</v>
      </c>
      <c r="B26" s="10">
        <v>303400</v>
      </c>
      <c r="C26" s="10" t="s">
        <v>24</v>
      </c>
      <c r="D26" s="11">
        <v>40671.449999999997</v>
      </c>
      <c r="E26" s="6"/>
      <c r="F26" s="7"/>
      <c r="G26" s="7"/>
      <c r="H26" s="7"/>
      <c r="I26" s="7"/>
      <c r="J26" s="7"/>
      <c r="K26" s="7"/>
      <c r="L26" s="7"/>
    </row>
    <row r="27" spans="1:12">
      <c r="A27">
        <v>2015</v>
      </c>
      <c r="B27" s="10">
        <v>303600</v>
      </c>
      <c r="C27" s="10" t="s">
        <v>25</v>
      </c>
      <c r="D27" s="11">
        <v>71565</v>
      </c>
      <c r="E27" s="6"/>
      <c r="F27" s="7"/>
      <c r="G27" s="7"/>
      <c r="H27" s="7"/>
      <c r="I27" s="7"/>
      <c r="J27" s="5"/>
      <c r="K27" s="7"/>
      <c r="L27" s="7"/>
    </row>
    <row r="28" spans="1:12">
      <c r="A28">
        <v>2015</v>
      </c>
      <c r="B28" s="10">
        <v>303700</v>
      </c>
      <c r="C28" s="10" t="s">
        <v>26</v>
      </c>
      <c r="D28" s="11">
        <v>98183.7</v>
      </c>
      <c r="E28" s="6"/>
      <c r="F28" s="7"/>
      <c r="G28" s="7"/>
      <c r="H28" s="7"/>
      <c r="I28" s="7"/>
      <c r="J28" s="7"/>
      <c r="K28" s="7"/>
      <c r="L28" s="7"/>
    </row>
    <row r="29" spans="1:12">
      <c r="A29">
        <v>2015</v>
      </c>
      <c r="B29" s="10">
        <v>303800</v>
      </c>
      <c r="C29" s="10" t="s">
        <v>27</v>
      </c>
      <c r="D29" s="11">
        <v>3500195.77</v>
      </c>
      <c r="E29" s="6"/>
      <c r="F29" s="7"/>
      <c r="G29" s="7"/>
      <c r="H29" s="7"/>
      <c r="I29" s="7"/>
      <c r="J29" s="7"/>
      <c r="K29" s="7"/>
      <c r="L29" s="7"/>
    </row>
    <row r="30" spans="1:12">
      <c r="A30">
        <v>2015</v>
      </c>
      <c r="B30" s="10">
        <v>304000</v>
      </c>
      <c r="C30" s="10" t="s">
        <v>28</v>
      </c>
      <c r="D30" s="11">
        <v>134026.26999999999</v>
      </c>
      <c r="E30" s="6"/>
      <c r="F30" s="7"/>
      <c r="G30" s="7"/>
      <c r="H30" s="7"/>
      <c r="I30" s="7"/>
      <c r="J30" s="7"/>
      <c r="K30" s="7"/>
      <c r="L30" s="7"/>
    </row>
    <row r="31" spans="1:12">
      <c r="A31">
        <v>2015</v>
      </c>
      <c r="B31" s="10">
        <v>304100</v>
      </c>
      <c r="C31" s="10" t="s">
        <v>29</v>
      </c>
      <c r="D31" s="11">
        <v>81924.639999999999</v>
      </c>
      <c r="E31" s="6"/>
      <c r="F31" s="7"/>
      <c r="G31" s="7"/>
      <c r="H31" s="7"/>
      <c r="I31" s="7"/>
      <c r="J31" s="7"/>
      <c r="K31" s="7"/>
      <c r="L31" s="7"/>
    </row>
    <row r="32" spans="1:12">
      <c r="A32">
        <v>2015</v>
      </c>
      <c r="B32" s="10">
        <v>304200</v>
      </c>
      <c r="C32" s="10" t="s">
        <v>30</v>
      </c>
      <c r="D32" s="11">
        <v>235605.93</v>
      </c>
      <c r="E32" s="6"/>
      <c r="F32" s="7"/>
      <c r="G32" s="7"/>
      <c r="H32" s="7"/>
      <c r="I32" s="7"/>
      <c r="J32" s="7"/>
      <c r="K32" s="7"/>
      <c r="L32" s="7"/>
    </row>
    <row r="33" spans="1:12">
      <c r="A33">
        <v>2015</v>
      </c>
      <c r="B33" s="10">
        <v>304300</v>
      </c>
      <c r="C33" s="10" t="s">
        <v>31</v>
      </c>
      <c r="D33" s="11">
        <v>170043.76</v>
      </c>
      <c r="E33" s="6"/>
      <c r="F33" s="7"/>
      <c r="G33" s="7"/>
      <c r="H33" s="7"/>
      <c r="I33" s="7"/>
      <c r="J33" s="7"/>
      <c r="K33" s="7"/>
      <c r="L33" s="7"/>
    </row>
    <row r="34" spans="1:12">
      <c r="A34">
        <v>2015</v>
      </c>
      <c r="B34" s="10">
        <v>304400</v>
      </c>
      <c r="C34" s="10" t="s">
        <v>32</v>
      </c>
      <c r="D34" s="11">
        <v>241335.66</v>
      </c>
      <c r="E34" s="6"/>
      <c r="F34" s="7"/>
      <c r="G34" s="7"/>
      <c r="H34" s="7"/>
      <c r="I34" s="7"/>
      <c r="J34" s="7"/>
      <c r="K34" s="7"/>
      <c r="L34" s="7"/>
    </row>
    <row r="35" spans="1:12">
      <c r="A35">
        <v>2015</v>
      </c>
      <c r="B35" s="10">
        <v>304500</v>
      </c>
      <c r="C35" s="10" t="s">
        <v>33</v>
      </c>
      <c r="D35" s="11">
        <v>73232.84</v>
      </c>
      <c r="E35" s="6"/>
      <c r="F35" s="7"/>
      <c r="G35" s="7"/>
      <c r="H35" s="7"/>
      <c r="I35" s="7"/>
      <c r="J35" s="7"/>
      <c r="K35" s="7"/>
      <c r="L35" s="7"/>
    </row>
    <row r="36" spans="1:12">
      <c r="A36">
        <v>2015</v>
      </c>
      <c r="B36" s="10">
        <v>304600</v>
      </c>
      <c r="C36" s="10" t="s">
        <v>34</v>
      </c>
      <c r="D36" s="11">
        <v>98025.78</v>
      </c>
      <c r="E36" s="6"/>
      <c r="F36" s="7"/>
      <c r="G36" s="7"/>
      <c r="H36" s="7"/>
      <c r="I36" s="7"/>
      <c r="J36" s="5"/>
      <c r="K36" s="7"/>
      <c r="L36" s="7"/>
    </row>
    <row r="37" spans="1:12">
      <c r="A37">
        <v>2015</v>
      </c>
      <c r="B37" s="10">
        <v>304700</v>
      </c>
      <c r="C37" s="10" t="s">
        <v>35</v>
      </c>
      <c r="D37" s="11">
        <v>304604.71000000002</v>
      </c>
      <c r="E37" s="6"/>
      <c r="F37" s="7"/>
      <c r="G37" s="7"/>
      <c r="H37" s="7"/>
      <c r="I37" s="7"/>
      <c r="J37" s="7"/>
      <c r="K37" s="7"/>
      <c r="L37" s="7"/>
    </row>
    <row r="38" spans="1:12">
      <c r="A38">
        <v>2015</v>
      </c>
      <c r="B38" s="10">
        <v>304800</v>
      </c>
      <c r="C38" s="10" t="s">
        <v>36</v>
      </c>
      <c r="D38" s="11">
        <v>124209.68</v>
      </c>
      <c r="E38" s="6"/>
      <c r="F38" s="7"/>
      <c r="G38" s="7"/>
      <c r="H38" s="7"/>
      <c r="I38" s="7"/>
      <c r="J38" s="7"/>
      <c r="K38" s="7"/>
      <c r="L38" s="7"/>
    </row>
    <row r="39" spans="1:12">
      <c r="A39">
        <v>2015</v>
      </c>
      <c r="B39" s="10">
        <v>305100</v>
      </c>
      <c r="C39" s="10" t="s">
        <v>37</v>
      </c>
      <c r="D39" s="11">
        <v>131468.81</v>
      </c>
      <c r="E39" s="6"/>
      <c r="F39" s="7"/>
      <c r="G39" s="7"/>
      <c r="H39" s="7"/>
      <c r="I39" s="7"/>
      <c r="J39" s="7"/>
      <c r="K39" s="7"/>
      <c r="L39" s="7"/>
    </row>
    <row r="40" spans="1:12">
      <c r="A40">
        <v>2015</v>
      </c>
      <c r="B40" s="10">
        <v>305200</v>
      </c>
      <c r="C40" s="10" t="s">
        <v>38</v>
      </c>
      <c r="D40" s="11">
        <v>1772430.3</v>
      </c>
      <c r="E40" s="6"/>
      <c r="F40" s="7"/>
      <c r="G40" s="7"/>
      <c r="H40" s="7"/>
      <c r="I40" s="7"/>
      <c r="J40" s="5"/>
      <c r="K40" s="7"/>
      <c r="L40" s="7"/>
    </row>
    <row r="41" spans="1:12">
      <c r="A41">
        <v>2015</v>
      </c>
      <c r="B41" s="10">
        <v>305300</v>
      </c>
      <c r="C41" s="10" t="s">
        <v>39</v>
      </c>
      <c r="D41" s="11">
        <v>107102.71</v>
      </c>
      <c r="E41" s="6"/>
      <c r="F41" s="7"/>
      <c r="G41" s="7"/>
      <c r="H41" s="7"/>
      <c r="I41" s="7"/>
      <c r="J41" s="7"/>
      <c r="K41" s="7"/>
      <c r="L41" s="7"/>
    </row>
    <row r="42" spans="1:12">
      <c r="A42">
        <v>2015</v>
      </c>
      <c r="B42" s="10">
        <v>305500</v>
      </c>
      <c r="C42" s="10" t="s">
        <v>40</v>
      </c>
      <c r="D42" s="11">
        <v>46456.87</v>
      </c>
      <c r="E42" s="6"/>
      <c r="F42" s="7"/>
      <c r="G42" s="7"/>
      <c r="H42" s="7"/>
      <c r="I42" s="7"/>
      <c r="J42" s="7"/>
      <c r="K42" s="7"/>
      <c r="L42" s="7"/>
    </row>
    <row r="43" spans="1:12">
      <c r="A43">
        <v>2015</v>
      </c>
      <c r="B43" s="10">
        <v>305600</v>
      </c>
      <c r="C43" s="10" t="s">
        <v>41</v>
      </c>
      <c r="D43" s="11">
        <v>85662.32</v>
      </c>
      <c r="E43" s="6"/>
      <c r="F43" s="7"/>
      <c r="G43" s="7"/>
      <c r="H43" s="7"/>
      <c r="I43" s="7"/>
      <c r="J43" s="7"/>
      <c r="K43" s="7"/>
      <c r="L43" s="7"/>
    </row>
    <row r="44" spans="1:12">
      <c r="A44">
        <v>2015</v>
      </c>
      <c r="B44" s="10">
        <v>305700</v>
      </c>
      <c r="C44" s="10" t="s">
        <v>42</v>
      </c>
      <c r="D44" s="11">
        <v>115498.79</v>
      </c>
      <c r="E44" s="6"/>
      <c r="F44" s="7"/>
      <c r="G44" s="7"/>
      <c r="H44" s="7"/>
      <c r="I44" s="7"/>
      <c r="J44" s="7"/>
      <c r="K44" s="7"/>
      <c r="L44" s="7"/>
    </row>
    <row r="45" spans="1:12">
      <c r="A45">
        <v>2015</v>
      </c>
      <c r="B45" s="10">
        <v>305900</v>
      </c>
      <c r="C45" s="10" t="s">
        <v>43</v>
      </c>
      <c r="D45" s="11">
        <v>266608.64000000001</v>
      </c>
      <c r="E45" s="6"/>
      <c r="F45" s="7"/>
      <c r="G45" s="7"/>
      <c r="H45" s="7"/>
      <c r="I45" s="7"/>
      <c r="J45" s="5"/>
      <c r="K45" s="7"/>
      <c r="L45" s="7"/>
    </row>
    <row r="46" spans="1:12">
      <c r="A46">
        <v>2015</v>
      </c>
      <c r="B46" s="10">
        <v>306000</v>
      </c>
      <c r="C46" s="10" t="s">
        <v>44</v>
      </c>
      <c r="D46" s="11">
        <v>266010.94</v>
      </c>
      <c r="E46" s="6"/>
      <c r="F46" s="7"/>
      <c r="G46" s="7"/>
      <c r="H46" s="7"/>
      <c r="I46" s="7"/>
      <c r="J46" s="7"/>
      <c r="K46" s="7"/>
      <c r="L46" s="7"/>
    </row>
    <row r="47" spans="1:12">
      <c r="A47">
        <v>2015</v>
      </c>
      <c r="B47" s="10">
        <v>306100</v>
      </c>
      <c r="C47" s="10" t="s">
        <v>45</v>
      </c>
      <c r="D47" s="11">
        <v>157334.12</v>
      </c>
      <c r="E47" s="6"/>
      <c r="F47" s="7"/>
      <c r="G47" s="7"/>
      <c r="H47" s="7"/>
      <c r="I47" s="7"/>
      <c r="J47" s="5"/>
      <c r="K47" s="7"/>
      <c r="L47" s="7"/>
    </row>
    <row r="48" spans="1:12">
      <c r="A48">
        <v>2015</v>
      </c>
      <c r="B48" s="10">
        <v>306200</v>
      </c>
      <c r="C48" s="10" t="s">
        <v>46</v>
      </c>
      <c r="D48" s="11">
        <v>71938.100000000006</v>
      </c>
      <c r="E48" s="6"/>
      <c r="F48" s="7"/>
      <c r="G48" s="7"/>
      <c r="H48" s="7"/>
      <c r="I48" s="7"/>
      <c r="J48" s="7"/>
      <c r="K48" s="7"/>
      <c r="L48" s="7"/>
    </row>
    <row r="49" spans="1:12">
      <c r="A49">
        <v>2015</v>
      </c>
      <c r="B49" s="10">
        <v>306300</v>
      </c>
      <c r="C49" s="10" t="s">
        <v>47</v>
      </c>
      <c r="D49" s="11">
        <v>149302.76999999999</v>
      </c>
      <c r="E49" s="6"/>
      <c r="F49" s="7"/>
      <c r="G49" s="7"/>
      <c r="H49" s="7"/>
      <c r="I49" s="7"/>
      <c r="J49" s="7"/>
      <c r="K49" s="7"/>
      <c r="L49" s="7"/>
    </row>
    <row r="50" spans="1:12">
      <c r="A50">
        <v>2015</v>
      </c>
      <c r="B50" s="10">
        <v>306700</v>
      </c>
      <c r="C50" s="10" t="s">
        <v>48</v>
      </c>
      <c r="D50" s="11">
        <v>153240.99</v>
      </c>
      <c r="E50" s="6"/>
      <c r="F50" s="7"/>
      <c r="G50" s="7"/>
      <c r="H50" s="7"/>
      <c r="I50" s="7"/>
      <c r="J50" s="7"/>
      <c r="K50" s="7"/>
      <c r="L50" s="7"/>
    </row>
    <row r="51" spans="1:12">
      <c r="A51">
        <v>2015</v>
      </c>
      <c r="B51" s="10">
        <v>306800</v>
      </c>
      <c r="C51" s="10" t="s">
        <v>49</v>
      </c>
      <c r="D51" s="11">
        <v>109432.83</v>
      </c>
      <c r="E51" s="6"/>
      <c r="F51" s="7"/>
      <c r="G51" s="7"/>
      <c r="H51" s="7"/>
      <c r="I51" s="7"/>
      <c r="J51" s="7"/>
      <c r="K51" s="7"/>
      <c r="L51" s="7"/>
    </row>
    <row r="52" spans="1:12">
      <c r="A52">
        <v>2015</v>
      </c>
      <c r="B52" s="10">
        <v>306900</v>
      </c>
      <c r="C52" s="10" t="s">
        <v>50</v>
      </c>
      <c r="D52" s="11">
        <v>8319.09</v>
      </c>
      <c r="E52" s="6"/>
      <c r="F52" s="7"/>
      <c r="G52" s="7"/>
      <c r="H52" s="7"/>
      <c r="I52" s="7"/>
      <c r="J52" s="5"/>
      <c r="K52" s="7"/>
      <c r="L52" s="7"/>
    </row>
    <row r="53" spans="1:12">
      <c r="A53">
        <v>2015</v>
      </c>
      <c r="B53" s="10">
        <v>307000</v>
      </c>
      <c r="C53" s="10" t="s">
        <v>51</v>
      </c>
      <c r="D53" s="11">
        <v>432160.93</v>
      </c>
      <c r="E53" s="6"/>
      <c r="F53" s="7"/>
      <c r="G53" s="7"/>
      <c r="H53" s="7"/>
      <c r="I53" s="7"/>
      <c r="J53" s="7"/>
      <c r="K53" s="7"/>
      <c r="L53" s="7"/>
    </row>
    <row r="54" spans="1:12">
      <c r="A54">
        <v>2015</v>
      </c>
      <c r="B54" s="10">
        <v>307100</v>
      </c>
      <c r="C54" s="10" t="s">
        <v>52</v>
      </c>
      <c r="D54" s="11">
        <v>1528343.71</v>
      </c>
      <c r="E54" s="6"/>
      <c r="F54" s="7"/>
      <c r="G54" s="7"/>
      <c r="H54" s="7"/>
      <c r="I54" s="7"/>
      <c r="J54" s="7"/>
      <c r="K54" s="7"/>
      <c r="L54" s="7"/>
    </row>
    <row r="55" spans="1:12">
      <c r="A55">
        <v>2015</v>
      </c>
      <c r="B55" s="10">
        <v>307200</v>
      </c>
      <c r="C55" s="10" t="s">
        <v>53</v>
      </c>
      <c r="D55" s="11">
        <v>988690.76</v>
      </c>
      <c r="E55" s="6"/>
      <c r="F55" s="7"/>
      <c r="G55" s="7"/>
      <c r="H55" s="7"/>
      <c r="I55" s="7"/>
      <c r="J55" s="7"/>
      <c r="K55" s="7"/>
      <c r="L55" s="7"/>
    </row>
    <row r="56" spans="1:12">
      <c r="A56">
        <v>2015</v>
      </c>
      <c r="B56" s="10">
        <v>307300</v>
      </c>
      <c r="C56" s="10" t="s">
        <v>54</v>
      </c>
      <c r="D56" s="11">
        <v>1149450.52</v>
      </c>
      <c r="E56" s="6"/>
      <c r="F56" s="7"/>
      <c r="G56" s="7"/>
      <c r="H56" s="7"/>
      <c r="I56" s="7"/>
      <c r="J56" s="7"/>
      <c r="K56" s="7"/>
      <c r="L56" s="7"/>
    </row>
    <row r="57" spans="1:12">
      <c r="A57">
        <v>2015</v>
      </c>
      <c r="B57" s="10">
        <v>307500</v>
      </c>
      <c r="C57" s="10" t="s">
        <v>55</v>
      </c>
      <c r="D57" s="11">
        <v>249079.28</v>
      </c>
      <c r="E57" s="6"/>
      <c r="F57" s="7"/>
      <c r="G57" s="7"/>
      <c r="H57" s="7"/>
      <c r="I57" s="7"/>
      <c r="J57" s="7"/>
      <c r="K57" s="7"/>
      <c r="L57" s="7"/>
    </row>
    <row r="58" spans="1:12">
      <c r="A58">
        <v>2015</v>
      </c>
      <c r="B58" s="10">
        <v>307600</v>
      </c>
      <c r="C58" s="10" t="s">
        <v>56</v>
      </c>
      <c r="D58" s="11">
        <v>515731.32</v>
      </c>
      <c r="E58" s="6"/>
      <c r="F58" s="7"/>
      <c r="G58" s="7"/>
      <c r="H58" s="7"/>
      <c r="I58" s="7"/>
      <c r="J58" s="7"/>
      <c r="K58" s="7"/>
      <c r="L58" s="7"/>
    </row>
    <row r="59" spans="1:12">
      <c r="A59">
        <v>2015</v>
      </c>
      <c r="B59" s="10">
        <v>307700</v>
      </c>
      <c r="C59" s="10" t="s">
        <v>57</v>
      </c>
      <c r="D59" s="11">
        <v>161291.69</v>
      </c>
      <c r="E59" s="6"/>
      <c r="F59" s="7"/>
      <c r="G59" s="7"/>
      <c r="H59" s="7"/>
      <c r="I59" s="7"/>
      <c r="J59" s="7"/>
      <c r="K59" s="7"/>
      <c r="L59" s="7"/>
    </row>
    <row r="60" spans="1:12">
      <c r="A60">
        <v>2015</v>
      </c>
      <c r="B60" s="10">
        <v>307900</v>
      </c>
      <c r="C60" s="10" t="s">
        <v>58</v>
      </c>
      <c r="D60" s="11">
        <v>104868.15</v>
      </c>
      <c r="E60" s="6"/>
      <c r="F60" s="7"/>
      <c r="G60" s="7"/>
      <c r="H60" s="7"/>
      <c r="I60" s="7"/>
      <c r="J60" s="5"/>
      <c r="K60" s="7"/>
      <c r="L60" s="7"/>
    </row>
    <row r="61" spans="1:12">
      <c r="A61">
        <v>2015</v>
      </c>
      <c r="B61" s="10">
        <v>308000</v>
      </c>
      <c r="C61" s="10" t="s">
        <v>59</v>
      </c>
      <c r="D61" s="11">
        <v>113193.78</v>
      </c>
      <c r="E61" s="6"/>
      <c r="F61" s="7"/>
      <c r="G61" s="7"/>
      <c r="H61" s="7"/>
      <c r="I61" s="7"/>
      <c r="J61" s="7"/>
      <c r="K61" s="7"/>
      <c r="L61" s="7"/>
    </row>
    <row r="62" spans="1:12">
      <c r="A62">
        <v>2015</v>
      </c>
      <c r="B62" s="10">
        <v>308100</v>
      </c>
      <c r="C62" s="10" t="s">
        <v>60</v>
      </c>
      <c r="D62" s="11">
        <v>97693.99</v>
      </c>
      <c r="E62" s="6"/>
      <c r="F62" s="7"/>
      <c r="G62" s="7"/>
      <c r="H62" s="7"/>
      <c r="I62" s="7"/>
      <c r="J62" s="7"/>
      <c r="K62" s="7"/>
      <c r="L62" s="7"/>
    </row>
    <row r="63" spans="1:12">
      <c r="A63">
        <v>2015</v>
      </c>
      <c r="B63" s="10">
        <v>308200</v>
      </c>
      <c r="C63" s="10" t="s">
        <v>61</v>
      </c>
      <c r="D63" s="11">
        <v>79289.27</v>
      </c>
      <c r="E63" s="6"/>
      <c r="F63" s="7"/>
      <c r="G63" s="7"/>
      <c r="H63" s="7"/>
      <c r="I63" s="7"/>
      <c r="J63" s="5"/>
      <c r="K63" s="7"/>
      <c r="L63" s="7"/>
    </row>
    <row r="64" spans="1:12">
      <c r="A64">
        <v>2015</v>
      </c>
      <c r="B64" s="10">
        <v>308300</v>
      </c>
      <c r="C64" s="10" t="s">
        <v>62</v>
      </c>
      <c r="D64" s="11">
        <v>388968.24</v>
      </c>
      <c r="E64" s="6"/>
      <c r="F64" s="7"/>
      <c r="G64" s="7"/>
      <c r="H64" s="7"/>
      <c r="I64" s="7"/>
      <c r="J64" s="7"/>
      <c r="K64" s="7"/>
      <c r="L64" s="7"/>
    </row>
    <row r="65" spans="1:12">
      <c r="A65">
        <v>2015</v>
      </c>
      <c r="B65" s="10">
        <v>308400</v>
      </c>
      <c r="C65" s="10" t="s">
        <v>63</v>
      </c>
      <c r="D65" s="11">
        <v>79808.259999999995</v>
      </c>
      <c r="E65" s="6"/>
      <c r="F65" s="7"/>
      <c r="G65" s="7"/>
      <c r="H65" s="7"/>
      <c r="I65" s="7"/>
      <c r="J65" s="7"/>
      <c r="K65" s="7"/>
      <c r="L65" s="7"/>
    </row>
    <row r="66" spans="1:12">
      <c r="A66">
        <v>2015</v>
      </c>
      <c r="B66" s="10">
        <v>308600</v>
      </c>
      <c r="C66" s="10" t="s">
        <v>64</v>
      </c>
      <c r="D66" s="11">
        <v>51727.35</v>
      </c>
      <c r="E66" s="6"/>
      <c r="F66" s="7"/>
      <c r="G66" s="7"/>
      <c r="H66" s="7"/>
      <c r="I66" s="7"/>
      <c r="J66" s="7"/>
      <c r="K66" s="7"/>
      <c r="L66" s="7"/>
    </row>
    <row r="67" spans="1:12">
      <c r="A67">
        <v>2015</v>
      </c>
      <c r="B67" s="10">
        <v>308800</v>
      </c>
      <c r="C67" s="10" t="s">
        <v>65</v>
      </c>
      <c r="D67" s="11">
        <v>160722.5</v>
      </c>
      <c r="E67" s="6"/>
      <c r="F67" s="7"/>
      <c r="G67" s="7"/>
      <c r="H67" s="7"/>
      <c r="I67" s="7"/>
      <c r="J67" s="7"/>
      <c r="K67" s="7"/>
      <c r="L67" s="7"/>
    </row>
    <row r="68" spans="1:12">
      <c r="A68">
        <v>2015</v>
      </c>
      <c r="B68" s="10">
        <v>309000</v>
      </c>
      <c r="C68" s="10" t="s">
        <v>66</v>
      </c>
      <c r="D68" s="11">
        <v>51174.76</v>
      </c>
      <c r="E68" s="6"/>
      <c r="F68" s="7"/>
      <c r="G68" s="7"/>
      <c r="H68" s="7"/>
      <c r="I68" s="7"/>
      <c r="J68" s="7"/>
      <c r="K68" s="7"/>
      <c r="L68" s="7"/>
    </row>
    <row r="69" spans="1:12">
      <c r="A69">
        <v>2015</v>
      </c>
      <c r="B69" s="10">
        <v>309200</v>
      </c>
      <c r="C69" s="10" t="s">
        <v>67</v>
      </c>
      <c r="D69" s="11">
        <v>8102.34</v>
      </c>
      <c r="E69" s="6"/>
      <c r="F69" s="7"/>
      <c r="G69" s="7"/>
      <c r="H69" s="7"/>
      <c r="I69" s="7"/>
      <c r="J69" s="7"/>
      <c r="K69" s="7"/>
      <c r="L69" s="7"/>
    </row>
    <row r="70" spans="1:12">
      <c r="A70">
        <v>2015</v>
      </c>
      <c r="B70" s="10">
        <v>309300</v>
      </c>
      <c r="C70" s="10" t="s">
        <v>68</v>
      </c>
      <c r="D70" s="11">
        <v>103948.21</v>
      </c>
      <c r="E70" s="6"/>
      <c r="F70" s="7"/>
      <c r="G70" s="7"/>
      <c r="H70" s="7"/>
      <c r="I70" s="7"/>
      <c r="J70" s="7"/>
      <c r="K70" s="7"/>
      <c r="L70" s="7"/>
    </row>
    <row r="71" spans="1:12">
      <c r="A71">
        <v>2015</v>
      </c>
      <c r="B71" s="10">
        <v>309400</v>
      </c>
      <c r="C71" s="10" t="s">
        <v>69</v>
      </c>
      <c r="D71" s="11">
        <v>35517.31</v>
      </c>
      <c r="E71" s="6"/>
      <c r="F71" s="7"/>
      <c r="G71" s="7"/>
      <c r="H71" s="7"/>
      <c r="I71" s="7"/>
      <c r="J71" s="5"/>
      <c r="K71" s="7"/>
      <c r="L71" s="7"/>
    </row>
    <row r="72" spans="1:12">
      <c r="A72">
        <v>2015</v>
      </c>
      <c r="B72" s="10">
        <v>309600</v>
      </c>
      <c r="C72" s="10" t="s">
        <v>70</v>
      </c>
      <c r="D72" s="11">
        <v>162181.04</v>
      </c>
      <c r="E72" s="6"/>
      <c r="F72" s="7"/>
      <c r="G72" s="7"/>
      <c r="H72" s="7"/>
      <c r="I72" s="7"/>
      <c r="J72" s="7"/>
      <c r="K72" s="7"/>
      <c r="L72" s="7"/>
    </row>
    <row r="73" spans="1:12">
      <c r="A73">
        <v>2015</v>
      </c>
      <c r="B73" s="10">
        <v>309800</v>
      </c>
      <c r="C73" s="10" t="s">
        <v>71</v>
      </c>
      <c r="D73" s="11">
        <v>1599760.72</v>
      </c>
      <c r="E73" s="6"/>
      <c r="F73" s="7"/>
      <c r="G73" s="7"/>
      <c r="H73" s="7"/>
      <c r="I73" s="7"/>
      <c r="J73" s="7"/>
      <c r="K73" s="7"/>
      <c r="L73" s="7"/>
    </row>
    <row r="74" spans="1:12">
      <c r="A74">
        <v>2015</v>
      </c>
      <c r="B74" s="10">
        <v>309900</v>
      </c>
      <c r="C74" s="10" t="s">
        <v>72</v>
      </c>
      <c r="D74" s="11">
        <v>213384.3</v>
      </c>
      <c r="E74" s="6"/>
      <c r="F74" s="7"/>
      <c r="G74" s="7"/>
      <c r="H74" s="7"/>
      <c r="I74" s="7"/>
      <c r="J74" s="7"/>
      <c r="K74" s="7"/>
      <c r="L74" s="7"/>
    </row>
    <row r="75" spans="1:12">
      <c r="A75">
        <v>2015</v>
      </c>
      <c r="B75" s="10">
        <v>310000</v>
      </c>
      <c r="C75" s="10" t="s">
        <v>73</v>
      </c>
      <c r="D75" s="11">
        <v>204858.27</v>
      </c>
      <c r="E75" s="6"/>
      <c r="F75" s="7"/>
      <c r="G75" s="7"/>
      <c r="H75" s="7"/>
      <c r="I75" s="7"/>
      <c r="J75" s="7"/>
      <c r="K75" s="7"/>
      <c r="L75" s="7"/>
    </row>
    <row r="76" spans="1:12">
      <c r="A76">
        <v>2015</v>
      </c>
      <c r="B76" s="10">
        <v>310100</v>
      </c>
      <c r="C76" s="10" t="s">
        <v>74</v>
      </c>
      <c r="D76" s="11">
        <v>368894.49</v>
      </c>
      <c r="E76" s="6"/>
      <c r="F76" s="7"/>
      <c r="G76" s="7"/>
      <c r="H76" s="7"/>
      <c r="I76" s="7"/>
      <c r="J76" s="7"/>
      <c r="K76" s="7"/>
      <c r="L76" s="7"/>
    </row>
    <row r="77" spans="1:12">
      <c r="A77">
        <v>2015</v>
      </c>
      <c r="B77" s="10">
        <v>310200</v>
      </c>
      <c r="C77" s="10" t="s">
        <v>75</v>
      </c>
      <c r="D77" s="11">
        <v>38757.83</v>
      </c>
      <c r="E77" s="6"/>
      <c r="F77" s="7"/>
      <c r="G77" s="7"/>
      <c r="H77" s="7"/>
      <c r="I77" s="7"/>
      <c r="J77" s="7"/>
      <c r="K77" s="7"/>
      <c r="L77" s="7"/>
    </row>
    <row r="78" spans="1:12">
      <c r="A78">
        <v>2015</v>
      </c>
      <c r="B78" s="10">
        <v>310400</v>
      </c>
      <c r="C78" s="10" t="s">
        <v>76</v>
      </c>
      <c r="D78" s="11">
        <v>84395.68</v>
      </c>
      <c r="E78" s="6"/>
      <c r="F78" s="7"/>
      <c r="G78" s="7"/>
      <c r="H78" s="7"/>
      <c r="I78" s="7"/>
      <c r="J78" s="5"/>
      <c r="K78" s="7"/>
      <c r="L78" s="7"/>
    </row>
    <row r="79" spans="1:12">
      <c r="A79">
        <v>2015</v>
      </c>
      <c r="B79" s="10">
        <v>310500</v>
      </c>
      <c r="C79" s="10" t="s">
        <v>77</v>
      </c>
      <c r="D79" s="11">
        <v>169912.5</v>
      </c>
      <c r="E79" s="6"/>
      <c r="F79" s="7"/>
      <c r="G79" s="7"/>
      <c r="H79" s="7"/>
      <c r="I79" s="7"/>
      <c r="J79" s="7"/>
      <c r="K79" s="7"/>
      <c r="L79" s="7"/>
    </row>
    <row r="80" spans="1:12">
      <c r="A80">
        <v>2015</v>
      </c>
      <c r="B80" s="10">
        <v>310700</v>
      </c>
      <c r="C80" s="10" t="s">
        <v>78</v>
      </c>
      <c r="D80" s="11">
        <v>76956.009999999995</v>
      </c>
      <c r="E80" s="6"/>
      <c r="F80" s="7"/>
      <c r="G80" s="7"/>
      <c r="H80" s="7"/>
      <c r="I80" s="7"/>
      <c r="J80" s="7"/>
      <c r="K80" s="7"/>
      <c r="L80" s="7"/>
    </row>
    <row r="81" spans="1:12">
      <c r="A81">
        <v>2015</v>
      </c>
      <c r="B81" s="10">
        <v>310800</v>
      </c>
      <c r="C81" s="10" t="s">
        <v>79</v>
      </c>
      <c r="D81" s="11">
        <v>32743.5</v>
      </c>
      <c r="E81" s="6"/>
      <c r="F81" s="7"/>
      <c r="G81" s="7"/>
      <c r="H81" s="7"/>
      <c r="I81" s="7"/>
      <c r="J81" s="7"/>
      <c r="K81" s="7"/>
      <c r="L81" s="7"/>
    </row>
    <row r="82" spans="1:12">
      <c r="A82">
        <v>2015</v>
      </c>
      <c r="B82" s="10">
        <v>310900</v>
      </c>
      <c r="C82" s="10" t="s">
        <v>80</v>
      </c>
      <c r="D82" s="11">
        <v>45554.32</v>
      </c>
      <c r="E82" s="6"/>
      <c r="F82" s="7"/>
      <c r="G82" s="7"/>
      <c r="H82" s="7"/>
      <c r="I82" s="7"/>
      <c r="J82" s="5"/>
      <c r="K82" s="7"/>
      <c r="L82" s="7"/>
    </row>
    <row r="83" spans="1:12">
      <c r="A83">
        <v>2015</v>
      </c>
      <c r="B83" s="10">
        <v>311000</v>
      </c>
      <c r="C83" s="10" t="s">
        <v>81</v>
      </c>
      <c r="D83" s="11">
        <v>74889.710000000006</v>
      </c>
      <c r="E83" s="6"/>
      <c r="F83" s="7"/>
      <c r="G83" s="7"/>
      <c r="H83" s="7"/>
      <c r="I83" s="7"/>
      <c r="J83" s="5"/>
      <c r="K83" s="7"/>
      <c r="L83" s="7"/>
    </row>
    <row r="84" spans="1:12">
      <c r="A84">
        <v>2015</v>
      </c>
      <c r="B84" s="10">
        <v>311100</v>
      </c>
      <c r="C84" s="10" t="s">
        <v>82</v>
      </c>
      <c r="D84" s="11">
        <v>30413.119999999999</v>
      </c>
      <c r="E84" s="6"/>
      <c r="F84" s="7"/>
      <c r="G84" s="7"/>
      <c r="H84" s="7"/>
      <c r="I84" s="7"/>
      <c r="J84" s="7"/>
      <c r="K84" s="7"/>
      <c r="L84" s="7"/>
    </row>
    <row r="85" spans="1:12">
      <c r="A85">
        <v>2015</v>
      </c>
      <c r="B85" s="10">
        <v>311200</v>
      </c>
      <c r="C85" s="10" t="s">
        <v>83</v>
      </c>
      <c r="D85" s="11">
        <v>141060.16</v>
      </c>
      <c r="E85" s="6"/>
      <c r="F85" s="7"/>
      <c r="G85" s="7"/>
      <c r="H85" s="7"/>
      <c r="I85" s="7"/>
      <c r="J85" s="7"/>
      <c r="K85" s="7"/>
      <c r="L85" s="7"/>
    </row>
    <row r="86" spans="1:12">
      <c r="A86">
        <v>2015</v>
      </c>
      <c r="B86" s="10">
        <v>311500</v>
      </c>
      <c r="C86" s="10" t="s">
        <v>84</v>
      </c>
      <c r="D86" s="11">
        <v>41125.47</v>
      </c>
      <c r="E86" s="6"/>
      <c r="F86" s="7"/>
      <c r="G86" s="7"/>
      <c r="H86" s="7"/>
      <c r="I86" s="7"/>
      <c r="J86" s="7"/>
      <c r="K86" s="7"/>
      <c r="L86" s="7"/>
    </row>
    <row r="87" spans="1:12">
      <c r="A87">
        <v>2015</v>
      </c>
      <c r="B87" s="10">
        <v>311700</v>
      </c>
      <c r="C87" s="10" t="s">
        <v>85</v>
      </c>
      <c r="D87" s="11">
        <v>95710.96</v>
      </c>
      <c r="E87" s="6"/>
      <c r="F87" s="7"/>
      <c r="G87" s="7"/>
      <c r="H87" s="7"/>
      <c r="I87" s="7"/>
      <c r="J87" s="7"/>
      <c r="K87" s="7"/>
      <c r="L87" s="7"/>
    </row>
    <row r="88" spans="1:12">
      <c r="A88">
        <v>2015</v>
      </c>
      <c r="B88" s="10">
        <v>311900</v>
      </c>
      <c r="C88" s="10" t="s">
        <v>86</v>
      </c>
      <c r="D88" s="11">
        <v>85803.12</v>
      </c>
      <c r="E88" s="6"/>
      <c r="F88" s="7"/>
      <c r="G88" s="7"/>
      <c r="H88" s="7"/>
      <c r="I88" s="7"/>
      <c r="J88" s="5"/>
      <c r="K88" s="7"/>
      <c r="L88" s="7"/>
    </row>
    <row r="89" spans="1:12">
      <c r="A89">
        <v>2015</v>
      </c>
      <c r="B89" s="10">
        <v>312000</v>
      </c>
      <c r="C89" s="10" t="s">
        <v>87</v>
      </c>
      <c r="D89" s="11">
        <v>123315.1</v>
      </c>
      <c r="E89" s="6"/>
      <c r="F89" s="7"/>
      <c r="G89" s="7"/>
      <c r="H89" s="7"/>
      <c r="I89" s="7"/>
      <c r="J89" s="7"/>
      <c r="K89" s="7"/>
      <c r="L89" s="7"/>
    </row>
    <row r="90" spans="1:12">
      <c r="A90">
        <v>2015</v>
      </c>
      <c r="B90" s="10">
        <v>312100</v>
      </c>
      <c r="C90" s="10" t="s">
        <v>88</v>
      </c>
      <c r="D90" s="11">
        <v>70414.19</v>
      </c>
      <c r="E90" s="6"/>
      <c r="F90" s="7"/>
      <c r="G90" s="7"/>
      <c r="H90" s="7"/>
      <c r="I90" s="7"/>
      <c r="J90" s="7"/>
      <c r="K90" s="7"/>
      <c r="L90" s="7"/>
    </row>
    <row r="91" spans="1:12">
      <c r="A91">
        <v>2015</v>
      </c>
      <c r="B91" s="10">
        <v>312300</v>
      </c>
      <c r="C91" s="10" t="s">
        <v>89</v>
      </c>
      <c r="D91" s="11">
        <v>232795.12</v>
      </c>
      <c r="E91" s="6"/>
      <c r="F91" s="7"/>
      <c r="G91" s="7"/>
      <c r="H91" s="7"/>
      <c r="I91" s="7"/>
      <c r="J91" s="7"/>
      <c r="K91" s="7"/>
      <c r="L91" s="7"/>
    </row>
    <row r="92" spans="1:12">
      <c r="A92">
        <v>2015</v>
      </c>
      <c r="B92" s="10">
        <v>312600</v>
      </c>
      <c r="C92" s="10" t="s">
        <v>90</v>
      </c>
      <c r="D92" s="11">
        <v>382324.31</v>
      </c>
      <c r="E92" s="6"/>
      <c r="F92" s="7"/>
      <c r="G92" s="7"/>
      <c r="H92" s="7"/>
      <c r="I92" s="7"/>
      <c r="J92" s="7"/>
      <c r="K92" s="7"/>
      <c r="L92" s="7"/>
    </row>
    <row r="93" spans="1:12">
      <c r="A93">
        <v>2015</v>
      </c>
      <c r="B93" s="10">
        <v>312700</v>
      </c>
      <c r="C93" s="10" t="s">
        <v>91</v>
      </c>
      <c r="D93" s="11">
        <v>77342.320000000007</v>
      </c>
      <c r="E93" s="6"/>
      <c r="F93" s="7"/>
      <c r="G93" s="7"/>
      <c r="H93" s="7"/>
      <c r="I93" s="7"/>
      <c r="J93" s="5"/>
      <c r="K93" s="7"/>
      <c r="L93" s="7"/>
    </row>
    <row r="94" spans="1:12">
      <c r="A94">
        <v>2015</v>
      </c>
      <c r="B94" s="10">
        <v>313000</v>
      </c>
      <c r="C94" s="10" t="s">
        <v>92</v>
      </c>
      <c r="D94" s="11">
        <v>258133.2</v>
      </c>
      <c r="E94" s="6"/>
      <c r="F94" s="7"/>
      <c r="G94" s="7"/>
      <c r="H94" s="7"/>
      <c r="I94" s="7"/>
      <c r="J94" s="7"/>
      <c r="K94" s="7"/>
      <c r="L94" s="7"/>
    </row>
    <row r="95" spans="1:12">
      <c r="A95">
        <v>2015</v>
      </c>
      <c r="B95" s="10">
        <v>313200</v>
      </c>
      <c r="C95" s="10" t="s">
        <v>93</v>
      </c>
      <c r="D95" s="11">
        <v>111372.72</v>
      </c>
      <c r="E95" s="6"/>
      <c r="F95" s="7"/>
      <c r="G95" s="7"/>
      <c r="H95" s="7"/>
      <c r="I95" s="7"/>
      <c r="J95" s="7"/>
      <c r="K95" s="7"/>
      <c r="L95" s="7"/>
    </row>
    <row r="96" spans="1:12">
      <c r="A96">
        <v>2015</v>
      </c>
      <c r="B96" s="10">
        <v>313300</v>
      </c>
      <c r="C96" s="10" t="s">
        <v>94</v>
      </c>
      <c r="D96" s="11">
        <v>43040.78</v>
      </c>
      <c r="E96" s="6"/>
      <c r="F96" s="7"/>
      <c r="G96" s="7"/>
      <c r="H96" s="7"/>
      <c r="I96" s="7"/>
      <c r="J96" s="7"/>
      <c r="K96" s="7"/>
      <c r="L96" s="7"/>
    </row>
    <row r="97" spans="1:12">
      <c r="A97">
        <v>2015</v>
      </c>
      <c r="B97" s="10">
        <v>313400</v>
      </c>
      <c r="C97" s="10" t="s">
        <v>95</v>
      </c>
      <c r="D97" s="11">
        <v>1244344.68</v>
      </c>
      <c r="E97" s="6"/>
      <c r="F97" s="7"/>
      <c r="G97" s="7"/>
      <c r="H97" s="7"/>
      <c r="I97" s="7"/>
      <c r="J97" s="5"/>
      <c r="K97" s="7"/>
      <c r="L97" s="7"/>
    </row>
    <row r="98" spans="1:12">
      <c r="A98">
        <v>2015</v>
      </c>
      <c r="B98" s="10">
        <v>313600</v>
      </c>
      <c r="C98" s="10" t="s">
        <v>96</v>
      </c>
      <c r="D98" s="11">
        <v>121587.9</v>
      </c>
      <c r="E98" s="6"/>
      <c r="F98" s="7"/>
      <c r="G98" s="7"/>
      <c r="H98" s="7"/>
      <c r="I98" s="7"/>
      <c r="J98" s="5"/>
      <c r="K98" s="7"/>
      <c r="L98" s="7"/>
    </row>
    <row r="99" spans="1:12">
      <c r="A99">
        <v>2015</v>
      </c>
      <c r="B99" s="10">
        <v>313700</v>
      </c>
      <c r="C99" s="10" t="s">
        <v>97</v>
      </c>
      <c r="D99" s="11">
        <v>49352.92</v>
      </c>
      <c r="E99" s="6"/>
      <c r="F99" s="7"/>
      <c r="G99" s="7"/>
      <c r="H99" s="7"/>
      <c r="I99" s="7"/>
      <c r="J99" s="7"/>
      <c r="K99" s="7"/>
      <c r="L99" s="7"/>
    </row>
    <row r="100" spans="1:12">
      <c r="A100">
        <v>2015</v>
      </c>
      <c r="B100" s="10">
        <v>313800</v>
      </c>
      <c r="C100" s="10" t="s">
        <v>98</v>
      </c>
      <c r="D100" s="11">
        <v>797342.32</v>
      </c>
      <c r="E100" s="6"/>
      <c r="F100" s="7"/>
      <c r="G100" s="7"/>
      <c r="H100" s="7"/>
      <c r="I100" s="7"/>
      <c r="J100" s="5"/>
      <c r="K100" s="7"/>
      <c r="L100" s="7"/>
    </row>
    <row r="101" spans="1:12">
      <c r="A101">
        <v>2015</v>
      </c>
      <c r="B101" s="10">
        <v>313900</v>
      </c>
      <c r="C101" s="10" t="s">
        <v>99</v>
      </c>
      <c r="D101" s="11">
        <v>100897.51</v>
      </c>
      <c r="E101" s="6"/>
      <c r="F101" s="7"/>
      <c r="G101" s="7"/>
      <c r="H101" s="7"/>
      <c r="I101" s="7"/>
      <c r="J101" s="7"/>
      <c r="K101" s="7"/>
      <c r="L101" s="7"/>
    </row>
    <row r="102" spans="1:12">
      <c r="A102">
        <v>2015</v>
      </c>
      <c r="B102" s="10">
        <v>314100</v>
      </c>
      <c r="C102" s="10" t="s">
        <v>100</v>
      </c>
      <c r="D102" s="11">
        <v>627901.48</v>
      </c>
      <c r="E102" s="6"/>
      <c r="F102" s="7"/>
      <c r="G102" s="7"/>
      <c r="H102" s="7"/>
      <c r="I102" s="7"/>
      <c r="J102" s="5"/>
      <c r="K102" s="7"/>
      <c r="L102" s="7"/>
    </row>
    <row r="103" spans="1:12">
      <c r="A103">
        <v>2015</v>
      </c>
      <c r="B103" s="10">
        <v>314200</v>
      </c>
      <c r="C103" s="10" t="s">
        <v>101</v>
      </c>
      <c r="D103" s="11">
        <v>108765.71</v>
      </c>
      <c r="E103" s="6"/>
      <c r="F103" s="7"/>
      <c r="G103" s="7"/>
      <c r="H103" s="7"/>
      <c r="I103" s="7"/>
      <c r="J103" s="5"/>
      <c r="K103" s="7"/>
      <c r="L103" s="7"/>
    </row>
    <row r="104" spans="1:12">
      <c r="A104">
        <v>2015</v>
      </c>
      <c r="B104" s="10">
        <v>314400</v>
      </c>
      <c r="C104" s="10" t="s">
        <v>102</v>
      </c>
      <c r="D104" s="11">
        <v>75194.7</v>
      </c>
      <c r="E104" s="6"/>
      <c r="F104" s="7"/>
      <c r="G104" s="7"/>
      <c r="H104" s="7"/>
      <c r="I104" s="7"/>
      <c r="J104" s="7"/>
      <c r="K104" s="7"/>
      <c r="L104" s="7"/>
    </row>
    <row r="105" spans="1:12">
      <c r="A105">
        <v>2015</v>
      </c>
      <c r="B105" s="10">
        <v>314500</v>
      </c>
      <c r="C105" s="10" t="s">
        <v>103</v>
      </c>
      <c r="D105" s="11">
        <v>38747.769999999997</v>
      </c>
      <c r="E105" s="6"/>
      <c r="F105" s="7"/>
      <c r="G105" s="7"/>
      <c r="H105" s="7"/>
      <c r="I105" s="7"/>
      <c r="J105" s="5"/>
      <c r="K105" s="7"/>
      <c r="L105" s="7"/>
    </row>
    <row r="106" spans="1:12">
      <c r="A106">
        <v>2015</v>
      </c>
      <c r="B106" s="10">
        <v>314600</v>
      </c>
      <c r="C106" s="10" t="s">
        <v>104</v>
      </c>
      <c r="D106" s="11">
        <v>101591.55</v>
      </c>
      <c r="E106" s="6"/>
      <c r="F106" s="7"/>
      <c r="G106" s="7"/>
      <c r="H106" s="7"/>
      <c r="I106" s="7"/>
      <c r="J106" s="7"/>
      <c r="K106" s="7"/>
      <c r="L106" s="7"/>
    </row>
    <row r="107" spans="1:12">
      <c r="A107">
        <v>2015</v>
      </c>
      <c r="B107" s="10">
        <v>314700</v>
      </c>
      <c r="C107" s="10" t="s">
        <v>105</v>
      </c>
      <c r="D107" s="11">
        <v>57568.86</v>
      </c>
      <c r="E107" s="6"/>
      <c r="F107" s="7"/>
      <c r="G107" s="7"/>
      <c r="H107" s="7"/>
      <c r="I107" s="7"/>
      <c r="J107" s="7"/>
      <c r="K107" s="7"/>
      <c r="L107" s="7"/>
    </row>
    <row r="108" spans="1:12">
      <c r="A108">
        <v>2015</v>
      </c>
      <c r="B108" s="10">
        <v>314800</v>
      </c>
      <c r="C108" s="10" t="s">
        <v>106</v>
      </c>
      <c r="D108" s="11">
        <v>224382.69</v>
      </c>
      <c r="E108" s="6"/>
      <c r="F108" s="7"/>
      <c r="G108" s="7"/>
      <c r="H108" s="7"/>
      <c r="I108" s="7"/>
      <c r="J108" s="5"/>
      <c r="K108" s="7"/>
      <c r="L108" s="7"/>
    </row>
    <row r="109" spans="1:12">
      <c r="A109">
        <v>2015</v>
      </c>
      <c r="B109" s="10">
        <v>314900</v>
      </c>
      <c r="C109" s="10" t="s">
        <v>107</v>
      </c>
      <c r="D109" s="11">
        <v>77007.91</v>
      </c>
      <c r="E109" s="6"/>
      <c r="F109" s="7"/>
      <c r="G109" s="7"/>
      <c r="H109" s="7"/>
      <c r="I109" s="7"/>
      <c r="J109" s="7"/>
      <c r="K109" s="7"/>
      <c r="L109" s="7"/>
    </row>
    <row r="110" spans="1:12">
      <c r="A110">
        <v>2015</v>
      </c>
      <c r="B110" s="10">
        <v>315000</v>
      </c>
      <c r="C110" s="10" t="s">
        <v>108</v>
      </c>
      <c r="E110" s="6"/>
      <c r="F110" s="5"/>
      <c r="G110" s="5"/>
      <c r="H110" s="5"/>
      <c r="I110" s="5"/>
      <c r="J110" s="7"/>
      <c r="K110" s="5"/>
      <c r="L110" s="5"/>
    </row>
    <row r="111" spans="1:12">
      <c r="A111">
        <v>2015</v>
      </c>
      <c r="B111" s="10">
        <v>315100</v>
      </c>
      <c r="C111" s="10" t="s">
        <v>109</v>
      </c>
      <c r="D111" s="11">
        <v>48528.41</v>
      </c>
      <c r="E111" s="6"/>
      <c r="F111" s="7"/>
      <c r="G111" s="7"/>
      <c r="H111" s="7"/>
      <c r="I111" s="7"/>
      <c r="J111" s="5"/>
      <c r="K111" s="7"/>
      <c r="L111" s="7"/>
    </row>
    <row r="112" spans="1:12">
      <c r="A112">
        <v>2015</v>
      </c>
      <c r="B112" s="10">
        <v>315500</v>
      </c>
      <c r="C112" s="10" t="s">
        <v>110</v>
      </c>
      <c r="D112" s="11">
        <v>390159.57</v>
      </c>
      <c r="E112" s="6"/>
      <c r="F112" s="7"/>
      <c r="G112" s="7"/>
      <c r="H112" s="7"/>
      <c r="I112" s="7"/>
      <c r="J112" s="7"/>
      <c r="K112" s="7"/>
      <c r="L112" s="7"/>
    </row>
    <row r="113" spans="1:12">
      <c r="A113">
        <v>2015</v>
      </c>
      <c r="B113" s="10">
        <v>315700</v>
      </c>
      <c r="C113" s="10" t="s">
        <v>111</v>
      </c>
      <c r="D113" s="11">
        <v>289145.71000000002</v>
      </c>
      <c r="E113" s="6"/>
      <c r="F113" s="7"/>
      <c r="G113" s="7"/>
      <c r="H113" s="7"/>
      <c r="I113" s="7"/>
      <c r="J113" s="7"/>
      <c r="K113" s="7"/>
      <c r="L113" s="7"/>
    </row>
    <row r="114" spans="1:12">
      <c r="A114">
        <v>2015</v>
      </c>
      <c r="B114" s="10">
        <v>315800</v>
      </c>
      <c r="C114" s="10" t="s">
        <v>112</v>
      </c>
      <c r="D114" s="11">
        <v>78174.02</v>
      </c>
      <c r="E114" s="6"/>
      <c r="F114" s="7"/>
      <c r="G114" s="7"/>
      <c r="H114" s="7"/>
      <c r="I114" s="7"/>
      <c r="J114" s="7"/>
      <c r="K114" s="7"/>
      <c r="L114" s="7"/>
    </row>
    <row r="115" spans="1:12">
      <c r="A115">
        <v>2015</v>
      </c>
      <c r="B115" s="10">
        <v>315900</v>
      </c>
      <c r="C115" s="10" t="s">
        <v>113</v>
      </c>
      <c r="D115" s="11">
        <v>69456.47</v>
      </c>
      <c r="E115" s="6"/>
      <c r="F115" s="7"/>
      <c r="G115" s="7"/>
      <c r="H115" s="7"/>
      <c r="I115" s="7"/>
      <c r="J115" s="7"/>
      <c r="K115" s="7"/>
      <c r="L115" s="7"/>
    </row>
    <row r="116" spans="1:12">
      <c r="A116">
        <v>2015</v>
      </c>
      <c r="B116" s="10">
        <v>316000</v>
      </c>
      <c r="C116" s="10" t="s">
        <v>114</v>
      </c>
      <c r="D116" s="11">
        <v>65165.279999999999</v>
      </c>
      <c r="E116" s="6"/>
      <c r="F116" s="7"/>
      <c r="G116" s="7"/>
      <c r="H116" s="7"/>
      <c r="I116" s="7"/>
      <c r="J116" s="5"/>
      <c r="K116" s="7"/>
      <c r="L116" s="7"/>
    </row>
    <row r="117" spans="1:12">
      <c r="A117">
        <v>2015</v>
      </c>
      <c r="B117" s="10">
        <v>316200</v>
      </c>
      <c r="C117" s="10" t="s">
        <v>115</v>
      </c>
      <c r="D117" s="11">
        <v>183812.69</v>
      </c>
      <c r="E117" s="6"/>
      <c r="F117" s="7"/>
      <c r="G117" s="7"/>
      <c r="H117" s="7"/>
      <c r="I117" s="7"/>
      <c r="J117" s="5"/>
      <c r="K117" s="7"/>
      <c r="L117" s="7"/>
    </row>
    <row r="118" spans="1:12">
      <c r="A118">
        <v>2015</v>
      </c>
      <c r="B118" s="10">
        <v>316300</v>
      </c>
      <c r="C118" s="10" t="s">
        <v>116</v>
      </c>
      <c r="D118" s="11">
        <v>45848.07</v>
      </c>
      <c r="E118" s="6"/>
      <c r="F118" s="7"/>
      <c r="G118" s="7"/>
      <c r="H118" s="7"/>
      <c r="I118" s="7"/>
      <c r="J118" s="5"/>
      <c r="K118" s="7"/>
      <c r="L118" s="7"/>
    </row>
    <row r="119" spans="1:12">
      <c r="A119">
        <v>2015</v>
      </c>
      <c r="B119" s="10">
        <v>316600</v>
      </c>
      <c r="C119" s="10" t="s">
        <v>117</v>
      </c>
      <c r="D119" s="11">
        <v>139488.53</v>
      </c>
      <c r="E119" s="6"/>
      <c r="F119" s="7"/>
      <c r="G119" s="7"/>
      <c r="H119" s="7"/>
      <c r="I119" s="7"/>
      <c r="J119" s="7"/>
      <c r="K119" s="7"/>
      <c r="L119" s="7"/>
    </row>
    <row r="120" spans="1:12">
      <c r="A120">
        <v>2015</v>
      </c>
      <c r="B120" s="10">
        <v>316900</v>
      </c>
      <c r="C120" s="10" t="s">
        <v>118</v>
      </c>
      <c r="D120" s="11">
        <v>6081.53</v>
      </c>
      <c r="E120" s="6"/>
      <c r="F120" s="7"/>
      <c r="G120" s="7"/>
      <c r="H120" s="7"/>
      <c r="I120" s="7"/>
      <c r="J120" s="7"/>
      <c r="K120" s="7"/>
      <c r="L120" s="7"/>
    </row>
    <row r="121" spans="1:12">
      <c r="A121">
        <v>2015</v>
      </c>
      <c r="B121" s="10">
        <v>317000</v>
      </c>
      <c r="C121" s="10" t="s">
        <v>119</v>
      </c>
      <c r="D121" s="11">
        <v>273651.42</v>
      </c>
      <c r="E121" s="6"/>
      <c r="F121" s="7"/>
      <c r="G121" s="7"/>
      <c r="H121" s="7"/>
      <c r="I121" s="7"/>
      <c r="J121" s="7"/>
      <c r="K121" s="7"/>
      <c r="L121" s="7"/>
    </row>
    <row r="122" spans="1:12">
      <c r="A122">
        <v>2015</v>
      </c>
      <c r="B122" s="10">
        <v>317100</v>
      </c>
      <c r="C122" s="10" t="s">
        <v>120</v>
      </c>
      <c r="D122" s="11">
        <v>170104.15</v>
      </c>
      <c r="E122" s="6"/>
      <c r="F122" s="7"/>
      <c r="G122" s="7"/>
      <c r="H122" s="7"/>
      <c r="I122" s="7"/>
      <c r="J122" s="7"/>
      <c r="K122" s="7"/>
      <c r="L122" s="7"/>
    </row>
    <row r="123" spans="1:12">
      <c r="A123">
        <v>2015</v>
      </c>
      <c r="B123" s="10">
        <v>317200</v>
      </c>
      <c r="C123" s="10" t="s">
        <v>121</v>
      </c>
      <c r="D123" s="11">
        <v>220060.12</v>
      </c>
      <c r="E123" s="6"/>
      <c r="F123" s="7"/>
      <c r="G123" s="7"/>
      <c r="H123" s="7"/>
      <c r="I123" s="7"/>
      <c r="J123" s="7"/>
      <c r="K123" s="7"/>
      <c r="L123" s="7"/>
    </row>
    <row r="124" spans="1:12">
      <c r="A124">
        <v>2015</v>
      </c>
      <c r="B124" s="10">
        <v>317300</v>
      </c>
      <c r="C124" s="10" t="s">
        <v>122</v>
      </c>
      <c r="D124" s="11">
        <v>142282.48000000001</v>
      </c>
      <c r="E124" s="6"/>
      <c r="F124" s="7"/>
      <c r="G124" s="7"/>
      <c r="H124" s="7"/>
      <c r="I124" s="7"/>
      <c r="J124" s="7"/>
      <c r="K124" s="7"/>
      <c r="L124" s="7"/>
    </row>
    <row r="125" spans="1:12">
      <c r="A125">
        <v>2015</v>
      </c>
      <c r="B125" s="10">
        <v>317500</v>
      </c>
      <c r="C125" s="10" t="s">
        <v>123</v>
      </c>
      <c r="D125" s="11">
        <v>181951.49</v>
      </c>
      <c r="E125" s="6"/>
      <c r="F125" s="7"/>
      <c r="G125" s="7"/>
      <c r="H125" s="7"/>
      <c r="I125" s="7"/>
      <c r="J125" s="7"/>
      <c r="K125" s="7"/>
      <c r="L125" s="7"/>
    </row>
    <row r="126" spans="1:12">
      <c r="A126">
        <v>2015</v>
      </c>
      <c r="B126" s="10">
        <v>317600</v>
      </c>
      <c r="C126" s="10" t="s">
        <v>124</v>
      </c>
      <c r="D126" s="11">
        <v>37623.360000000001</v>
      </c>
      <c r="E126" s="6"/>
      <c r="F126" s="7"/>
      <c r="G126" s="7"/>
      <c r="H126" s="7"/>
      <c r="I126" s="7"/>
      <c r="J126" s="7"/>
      <c r="K126" s="7"/>
      <c r="L126" s="7"/>
    </row>
    <row r="127" spans="1:12">
      <c r="A127">
        <v>2015</v>
      </c>
      <c r="B127" s="10">
        <v>317700</v>
      </c>
      <c r="C127" s="10" t="s">
        <v>125</v>
      </c>
      <c r="D127" s="11">
        <v>42436.55</v>
      </c>
      <c r="E127" s="6"/>
      <c r="F127" s="7"/>
      <c r="G127" s="7"/>
      <c r="H127" s="7"/>
      <c r="I127" s="7"/>
      <c r="J127" s="7"/>
      <c r="K127" s="7"/>
      <c r="L127" s="7"/>
    </row>
    <row r="128" spans="1:12">
      <c r="A128">
        <v>2015</v>
      </c>
      <c r="B128" s="10">
        <v>317800</v>
      </c>
      <c r="C128" s="10" t="s">
        <v>126</v>
      </c>
      <c r="D128" s="11">
        <v>204905.33</v>
      </c>
      <c r="E128" s="6"/>
      <c r="F128" s="7"/>
      <c r="G128" s="7"/>
      <c r="H128" s="7"/>
      <c r="I128" s="7"/>
      <c r="J128" s="7"/>
      <c r="K128" s="7"/>
      <c r="L128" s="7"/>
    </row>
    <row r="129" spans="1:12">
      <c r="A129">
        <v>2015</v>
      </c>
      <c r="B129" s="10">
        <v>317900</v>
      </c>
      <c r="C129" s="10" t="s">
        <v>127</v>
      </c>
      <c r="D129" s="11">
        <v>22077.56</v>
      </c>
      <c r="E129" s="6"/>
      <c r="F129" s="7"/>
      <c r="G129" s="7"/>
      <c r="H129" s="7"/>
      <c r="I129" s="7"/>
      <c r="J129" s="7"/>
      <c r="K129" s="7"/>
      <c r="L129" s="7"/>
    </row>
    <row r="130" spans="1:12">
      <c r="A130">
        <v>2015</v>
      </c>
      <c r="B130" s="10">
        <v>318000</v>
      </c>
      <c r="C130" s="10" t="s">
        <v>128</v>
      </c>
      <c r="D130" s="11">
        <v>37910.839999999997</v>
      </c>
      <c r="E130" s="6"/>
      <c r="F130" s="7"/>
      <c r="G130" s="7"/>
      <c r="H130" s="7"/>
      <c r="I130" s="7"/>
      <c r="J130" s="5"/>
      <c r="K130" s="7"/>
      <c r="L130" s="7"/>
    </row>
    <row r="131" spans="1:12">
      <c r="A131">
        <v>2015</v>
      </c>
      <c r="B131" s="10">
        <v>318100</v>
      </c>
      <c r="C131" s="10" t="s">
        <v>129</v>
      </c>
      <c r="D131" s="11">
        <v>121108.65</v>
      </c>
      <c r="E131" s="6"/>
      <c r="F131" s="7"/>
      <c r="G131" s="7"/>
      <c r="H131" s="7"/>
      <c r="I131" s="7"/>
      <c r="J131" s="7"/>
      <c r="K131" s="7"/>
      <c r="L131" s="7"/>
    </row>
    <row r="132" spans="1:12">
      <c r="A132">
        <v>2015</v>
      </c>
      <c r="B132" s="10">
        <v>318200</v>
      </c>
      <c r="C132" s="10" t="s">
        <v>130</v>
      </c>
      <c r="D132" s="11">
        <v>355473.96</v>
      </c>
      <c r="E132" s="6"/>
      <c r="F132" s="7"/>
      <c r="G132" s="7"/>
      <c r="H132" s="7"/>
      <c r="I132" s="7"/>
      <c r="J132" s="7"/>
      <c r="K132" s="7"/>
      <c r="L132" s="7"/>
    </row>
    <row r="133" spans="1:12">
      <c r="A133">
        <v>2015</v>
      </c>
      <c r="B133" s="10">
        <v>318300</v>
      </c>
      <c r="C133" s="10" t="s">
        <v>131</v>
      </c>
      <c r="D133" s="11">
        <v>32850.44</v>
      </c>
      <c r="E133" s="6"/>
      <c r="F133" s="7"/>
      <c r="G133" s="7"/>
      <c r="H133" s="7"/>
      <c r="I133" s="7"/>
      <c r="J133" s="7"/>
      <c r="K133" s="7"/>
      <c r="L133" s="7"/>
    </row>
    <row r="134" spans="1:12">
      <c r="A134">
        <v>2015</v>
      </c>
      <c r="B134" s="10">
        <v>318400</v>
      </c>
      <c r="C134" s="10" t="s">
        <v>132</v>
      </c>
      <c r="D134" s="11">
        <v>204230.64</v>
      </c>
      <c r="E134" s="6"/>
      <c r="F134" s="7"/>
      <c r="G134" s="7"/>
      <c r="H134" s="7"/>
      <c r="I134" s="7"/>
      <c r="J134" s="7"/>
      <c r="K134" s="7"/>
      <c r="L134" s="7"/>
    </row>
    <row r="135" spans="1:12">
      <c r="A135">
        <v>2015</v>
      </c>
      <c r="B135" s="10">
        <v>318600</v>
      </c>
      <c r="C135" s="10" t="s">
        <v>133</v>
      </c>
      <c r="D135" s="11">
        <v>1994170.95</v>
      </c>
      <c r="E135" s="6"/>
      <c r="F135" s="7"/>
      <c r="G135" s="7"/>
      <c r="H135" s="7"/>
      <c r="I135" s="7"/>
      <c r="J135" s="7"/>
      <c r="K135" s="7"/>
      <c r="L135" s="7"/>
    </row>
    <row r="136" spans="1:12">
      <c r="A136">
        <v>2015</v>
      </c>
      <c r="B136" s="10">
        <v>318700</v>
      </c>
      <c r="C136" s="10" t="s">
        <v>134</v>
      </c>
      <c r="D136" s="11">
        <v>273002.48</v>
      </c>
      <c r="E136" s="6"/>
      <c r="F136" s="7"/>
      <c r="G136" s="7"/>
      <c r="H136" s="7"/>
      <c r="I136" s="7"/>
      <c r="J136" s="7"/>
      <c r="K136" s="7"/>
      <c r="L136" s="7"/>
    </row>
    <row r="137" spans="1:12">
      <c r="A137">
        <v>2015</v>
      </c>
      <c r="B137" s="10">
        <v>318900</v>
      </c>
      <c r="C137" s="10" t="s">
        <v>135</v>
      </c>
      <c r="D137" s="11">
        <v>610756.6</v>
      </c>
      <c r="E137" s="6"/>
      <c r="F137" s="7"/>
      <c r="G137" s="7"/>
      <c r="H137" s="7"/>
      <c r="I137" s="7"/>
      <c r="J137" s="5"/>
      <c r="K137" s="7"/>
      <c r="L137" s="7"/>
    </row>
    <row r="138" spans="1:12">
      <c r="A138">
        <v>2015</v>
      </c>
      <c r="B138" s="10">
        <v>319000</v>
      </c>
      <c r="C138" s="10" t="s">
        <v>136</v>
      </c>
      <c r="D138" s="11">
        <v>558032.82999999996</v>
      </c>
      <c r="E138" s="6"/>
      <c r="F138" s="7"/>
      <c r="G138" s="7"/>
      <c r="H138" s="7"/>
      <c r="I138" s="7"/>
      <c r="J138" s="5"/>
      <c r="K138" s="7"/>
      <c r="L138" s="7"/>
    </row>
    <row r="139" spans="1:12">
      <c r="A139">
        <v>2015</v>
      </c>
      <c r="B139" s="10">
        <v>319200</v>
      </c>
      <c r="C139" s="10" t="s">
        <v>137</v>
      </c>
      <c r="D139" s="11">
        <v>465524.74</v>
      </c>
      <c r="E139" s="6"/>
      <c r="F139" s="7"/>
      <c r="G139" s="7"/>
      <c r="H139" s="7"/>
      <c r="I139" s="7"/>
      <c r="J139" s="7"/>
      <c r="K139" s="7"/>
      <c r="L139" s="7"/>
    </row>
    <row r="140" spans="1:12">
      <c r="A140">
        <v>2015</v>
      </c>
      <c r="B140" s="10">
        <v>319300</v>
      </c>
      <c r="C140" s="10" t="s">
        <v>138</v>
      </c>
      <c r="D140" s="11">
        <v>91893.53</v>
      </c>
      <c r="E140" s="6"/>
      <c r="F140" s="7"/>
      <c r="G140" s="7"/>
      <c r="H140" s="7"/>
      <c r="I140" s="7"/>
      <c r="J140" s="5"/>
      <c r="K140" s="7"/>
      <c r="L140" s="7"/>
    </row>
    <row r="141" spans="1:12">
      <c r="A141">
        <v>2015</v>
      </c>
      <c r="B141" s="10">
        <v>319600</v>
      </c>
      <c r="C141" s="10" t="s">
        <v>139</v>
      </c>
      <c r="D141" s="11">
        <v>117729.56</v>
      </c>
      <c r="E141" s="6"/>
      <c r="F141" s="7"/>
      <c r="G141" s="7"/>
      <c r="H141" s="7"/>
      <c r="I141" s="7"/>
      <c r="J141" s="7"/>
      <c r="K141" s="7"/>
      <c r="L141" s="7"/>
    </row>
    <row r="142" spans="1:12">
      <c r="A142">
        <v>2015</v>
      </c>
      <c r="B142" s="10">
        <v>319700</v>
      </c>
      <c r="C142" s="10" t="s">
        <v>140</v>
      </c>
      <c r="D142" s="11">
        <v>92443.25</v>
      </c>
      <c r="E142" s="6"/>
      <c r="F142" s="7"/>
      <c r="G142" s="7"/>
      <c r="H142" s="7"/>
      <c r="I142" s="7"/>
      <c r="J142" s="5"/>
      <c r="K142" s="7"/>
      <c r="L142" s="7"/>
    </row>
    <row r="143" spans="1:12">
      <c r="A143">
        <v>2015</v>
      </c>
      <c r="B143" s="10">
        <v>319900</v>
      </c>
      <c r="C143" s="10" t="s">
        <v>141</v>
      </c>
      <c r="D143" s="11">
        <v>504587.17</v>
      </c>
      <c r="E143" s="6"/>
      <c r="F143" s="7"/>
      <c r="G143" s="7"/>
      <c r="H143" s="7"/>
      <c r="I143" s="7"/>
      <c r="J143" s="7"/>
      <c r="K143" s="7"/>
      <c r="L143" s="7"/>
    </row>
    <row r="144" spans="1:12">
      <c r="A144">
        <v>2015</v>
      </c>
      <c r="B144" s="10">
        <v>320000</v>
      </c>
      <c r="C144" s="10" t="s">
        <v>142</v>
      </c>
      <c r="D144" s="11">
        <v>181657.09</v>
      </c>
      <c r="E144" s="6"/>
      <c r="F144" s="7"/>
      <c r="G144" s="7"/>
      <c r="H144" s="7"/>
      <c r="I144" s="7"/>
      <c r="J144" s="7"/>
      <c r="K144" s="7"/>
      <c r="L144" s="7"/>
    </row>
    <row r="145" spans="1:12">
      <c r="A145">
        <v>2015</v>
      </c>
      <c r="B145" s="10">
        <v>320100</v>
      </c>
      <c r="C145" s="10" t="s">
        <v>143</v>
      </c>
      <c r="D145" s="11">
        <v>49996.89</v>
      </c>
      <c r="E145" s="6"/>
      <c r="F145" s="7"/>
      <c r="G145" s="7"/>
      <c r="H145" s="7"/>
      <c r="I145" s="7"/>
      <c r="J145" s="7"/>
      <c r="K145" s="7"/>
      <c r="L145" s="7"/>
    </row>
    <row r="146" spans="1:12">
      <c r="A146">
        <v>2015</v>
      </c>
      <c r="B146" s="10">
        <v>320200</v>
      </c>
      <c r="C146" s="10" t="s">
        <v>144</v>
      </c>
      <c r="D146" s="11">
        <v>72160.08</v>
      </c>
      <c r="E146" s="6"/>
      <c r="F146" s="7"/>
      <c r="G146" s="7"/>
      <c r="H146" s="7"/>
      <c r="I146" s="7"/>
      <c r="J146" s="7"/>
      <c r="K146" s="7"/>
      <c r="L146" s="7"/>
    </row>
    <row r="147" spans="1:12">
      <c r="A147">
        <v>2015</v>
      </c>
      <c r="B147" s="10">
        <v>320300</v>
      </c>
      <c r="C147" s="10" t="s">
        <v>145</v>
      </c>
      <c r="D147" s="11">
        <v>48341.33</v>
      </c>
      <c r="E147" s="6"/>
      <c r="F147" s="7"/>
      <c r="G147" s="7"/>
      <c r="H147" s="7"/>
      <c r="I147" s="7"/>
      <c r="J147" s="7"/>
      <c r="K147" s="7"/>
      <c r="L147" s="7"/>
    </row>
    <row r="148" spans="1:12">
      <c r="A148">
        <v>2015</v>
      </c>
      <c r="B148" s="10">
        <v>320400</v>
      </c>
      <c r="C148" s="10" t="s">
        <v>146</v>
      </c>
      <c r="D148" s="11">
        <v>2338966.5499999998</v>
      </c>
      <c r="E148" s="6"/>
      <c r="F148" s="7"/>
      <c r="G148" s="7"/>
      <c r="H148" s="7"/>
      <c r="I148" s="7"/>
      <c r="J148" s="5"/>
      <c r="K148" s="7"/>
      <c r="L148" s="7"/>
    </row>
    <row r="149" spans="1:12">
      <c r="A149">
        <v>2015</v>
      </c>
      <c r="B149" s="10">
        <v>320500</v>
      </c>
      <c r="C149" s="10" t="s">
        <v>147</v>
      </c>
      <c r="D149" s="11">
        <v>92669.67</v>
      </c>
      <c r="E149" s="6"/>
      <c r="F149" s="7"/>
      <c r="G149" s="7"/>
      <c r="H149" s="7"/>
      <c r="I149" s="7"/>
      <c r="J149" s="7"/>
      <c r="K149" s="7"/>
      <c r="L149" s="7"/>
    </row>
    <row r="150" spans="1:12">
      <c r="A150">
        <v>2015</v>
      </c>
      <c r="B150" s="10">
        <v>320600</v>
      </c>
      <c r="C150" s="10" t="s">
        <v>148</v>
      </c>
      <c r="D150" s="11">
        <v>1111461.5</v>
      </c>
      <c r="E150" s="6"/>
      <c r="F150" s="7"/>
      <c r="G150" s="7"/>
      <c r="H150" s="7"/>
      <c r="I150" s="7"/>
      <c r="J150" s="7"/>
      <c r="K150" s="7"/>
      <c r="L150" s="7"/>
    </row>
    <row r="151" spans="1:12">
      <c r="A151">
        <v>2015</v>
      </c>
      <c r="B151" s="10">
        <v>320700</v>
      </c>
      <c r="C151" s="10" t="s">
        <v>149</v>
      </c>
      <c r="D151" s="11">
        <v>54290.69</v>
      </c>
      <c r="E151" s="6"/>
      <c r="F151" s="7"/>
      <c r="G151" s="7"/>
      <c r="H151" s="7"/>
      <c r="I151" s="7"/>
      <c r="J151" s="5"/>
      <c r="K151" s="7"/>
      <c r="L151" s="7"/>
    </row>
    <row r="152" spans="1:12">
      <c r="A152">
        <v>2015</v>
      </c>
      <c r="B152" s="10">
        <v>320900</v>
      </c>
      <c r="C152" s="10" t="s">
        <v>150</v>
      </c>
      <c r="D152" s="11">
        <v>148133.79</v>
      </c>
      <c r="E152" s="6"/>
      <c r="F152" s="7"/>
      <c r="G152" s="7"/>
      <c r="H152" s="7"/>
      <c r="I152" s="7"/>
      <c r="J152" s="7"/>
      <c r="K152" s="7"/>
      <c r="L152" s="7"/>
    </row>
    <row r="153" spans="1:12">
      <c r="A153">
        <v>2015</v>
      </c>
      <c r="B153" s="10">
        <v>321100</v>
      </c>
      <c r="C153" s="10" t="s">
        <v>151</v>
      </c>
      <c r="D153" s="11">
        <v>549124.02</v>
      </c>
      <c r="E153" s="6"/>
      <c r="F153" s="7"/>
      <c r="G153" s="7"/>
      <c r="H153" s="7"/>
      <c r="I153" s="7"/>
      <c r="J153" s="7"/>
      <c r="K153" s="7"/>
      <c r="L153" s="7"/>
    </row>
    <row r="154" spans="1:12">
      <c r="A154">
        <v>2015</v>
      </c>
      <c r="B154" s="10">
        <v>321200</v>
      </c>
      <c r="C154" s="10" t="s">
        <v>152</v>
      </c>
      <c r="D154" s="11">
        <v>84209.13</v>
      </c>
      <c r="E154" s="6"/>
      <c r="F154" s="7"/>
      <c r="G154" s="7"/>
      <c r="H154" s="7"/>
      <c r="I154" s="7"/>
      <c r="J154" s="5"/>
      <c r="K154" s="7"/>
      <c r="L154" s="7"/>
    </row>
    <row r="155" spans="1:12">
      <c r="A155">
        <v>2015</v>
      </c>
      <c r="B155" s="10">
        <v>321400</v>
      </c>
      <c r="C155" s="10" t="s">
        <v>153</v>
      </c>
      <c r="D155" s="11">
        <v>17007.23</v>
      </c>
      <c r="E155" s="6"/>
      <c r="F155" s="7"/>
      <c r="G155" s="7"/>
      <c r="H155" s="7"/>
      <c r="I155" s="7"/>
      <c r="J155" s="7"/>
      <c r="K155" s="7"/>
      <c r="L155" s="7"/>
    </row>
    <row r="156" spans="1:12">
      <c r="A156">
        <v>2015</v>
      </c>
      <c r="B156" s="10">
        <v>321500</v>
      </c>
      <c r="C156" s="10" t="s">
        <v>154</v>
      </c>
      <c r="D156" s="11">
        <v>53495.86</v>
      </c>
      <c r="E156" s="6"/>
      <c r="F156" s="7"/>
      <c r="G156" s="7"/>
      <c r="H156" s="7"/>
      <c r="I156" s="7"/>
      <c r="J156" s="7"/>
      <c r="K156" s="7"/>
      <c r="L156" s="7"/>
    </row>
    <row r="157" spans="1:12">
      <c r="A157">
        <v>2015</v>
      </c>
      <c r="B157" s="10">
        <v>321600</v>
      </c>
      <c r="C157" s="10" t="s">
        <v>155</v>
      </c>
      <c r="D157" s="11">
        <v>51223.519999999997</v>
      </c>
      <c r="E157" s="6"/>
      <c r="F157" s="7"/>
      <c r="G157" s="7"/>
      <c r="H157" s="7"/>
      <c r="I157" s="7"/>
      <c r="J157" s="7"/>
      <c r="K157" s="7"/>
      <c r="L157" s="7"/>
    </row>
    <row r="158" spans="1:12">
      <c r="A158">
        <v>2015</v>
      </c>
      <c r="B158" s="10">
        <v>321700</v>
      </c>
      <c r="C158" s="10" t="s">
        <v>156</v>
      </c>
      <c r="D158" s="11">
        <v>319437.78000000003</v>
      </c>
      <c r="E158" s="6"/>
      <c r="F158" s="7"/>
      <c r="G158" s="7"/>
      <c r="H158" s="7"/>
      <c r="I158" s="7"/>
      <c r="J158" s="7"/>
      <c r="K158" s="7"/>
      <c r="L158" s="7"/>
    </row>
    <row r="159" spans="1:12">
      <c r="A159">
        <v>2015</v>
      </c>
      <c r="B159" s="10">
        <v>321800</v>
      </c>
      <c r="C159" s="10" t="s">
        <v>157</v>
      </c>
      <c r="D159" s="11">
        <v>169942.05</v>
      </c>
      <c r="E159" s="6"/>
      <c r="F159" s="7"/>
      <c r="G159" s="7"/>
      <c r="H159" s="7"/>
      <c r="I159" s="7"/>
      <c r="J159" s="5"/>
      <c r="K159" s="7"/>
      <c r="L159" s="7"/>
    </row>
    <row r="160" spans="1:12">
      <c r="A160">
        <v>2015</v>
      </c>
      <c r="B160" s="10">
        <v>321900</v>
      </c>
      <c r="C160" s="10" t="s">
        <v>158</v>
      </c>
      <c r="D160" s="11">
        <v>32455.24</v>
      </c>
      <c r="E160" s="6"/>
      <c r="F160" s="7"/>
      <c r="G160" s="7"/>
      <c r="H160" s="7"/>
      <c r="I160" s="7"/>
      <c r="J160" s="7"/>
      <c r="K160" s="7"/>
      <c r="L160" s="7"/>
    </row>
    <row r="161" spans="1:12">
      <c r="A161">
        <v>2015</v>
      </c>
      <c r="B161" s="10">
        <v>322100</v>
      </c>
      <c r="C161" s="10" t="s">
        <v>159</v>
      </c>
      <c r="D161" s="11">
        <v>53575.47</v>
      </c>
      <c r="E161" s="6"/>
      <c r="F161" s="7"/>
      <c r="G161" s="7"/>
      <c r="H161" s="7"/>
      <c r="I161" s="7"/>
      <c r="J161" s="7"/>
      <c r="K161" s="7"/>
      <c r="L161" s="7"/>
    </row>
    <row r="162" spans="1:12">
      <c r="A162">
        <v>2015</v>
      </c>
      <c r="B162" s="10">
        <v>322200</v>
      </c>
      <c r="C162" s="10" t="s">
        <v>160</v>
      </c>
      <c r="D162" s="11">
        <v>134849.60000000001</v>
      </c>
      <c r="E162" s="6"/>
      <c r="F162" s="7"/>
      <c r="G162" s="7"/>
      <c r="H162" s="7"/>
      <c r="I162" s="7"/>
      <c r="J162" s="5"/>
      <c r="K162" s="7"/>
      <c r="L162" s="7"/>
    </row>
    <row r="163" spans="1:12">
      <c r="A163">
        <v>2015</v>
      </c>
      <c r="B163" s="10">
        <v>322300</v>
      </c>
      <c r="C163" s="10" t="s">
        <v>161</v>
      </c>
      <c r="D163" s="11">
        <v>87033.279999999999</v>
      </c>
      <c r="E163" s="6"/>
      <c r="F163" s="7"/>
      <c r="G163" s="7"/>
      <c r="H163" s="7"/>
      <c r="I163" s="7"/>
      <c r="J163" s="7"/>
      <c r="K163" s="7"/>
      <c r="L163" s="7"/>
    </row>
    <row r="164" spans="1:12">
      <c r="A164">
        <v>2015</v>
      </c>
      <c r="B164" s="10">
        <v>322400</v>
      </c>
      <c r="C164" s="10" t="s">
        <v>162</v>
      </c>
      <c r="D164" s="11">
        <v>17898.8</v>
      </c>
      <c r="E164" s="6"/>
      <c r="F164" s="7"/>
      <c r="G164" s="7"/>
      <c r="H164" s="7"/>
      <c r="I164" s="7"/>
      <c r="J164" s="7"/>
      <c r="K164" s="7"/>
      <c r="L164" s="7"/>
    </row>
    <row r="165" spans="1:12">
      <c r="A165">
        <v>2015</v>
      </c>
      <c r="B165" s="10">
        <v>322500</v>
      </c>
      <c r="C165" s="10" t="s">
        <v>163</v>
      </c>
      <c r="D165" s="11">
        <v>36031.47</v>
      </c>
      <c r="E165" s="6"/>
      <c r="F165" s="7"/>
      <c r="G165" s="7"/>
      <c r="H165" s="7"/>
      <c r="I165" s="7"/>
      <c r="J165" s="7"/>
      <c r="K165" s="7"/>
      <c r="L165" s="7"/>
    </row>
    <row r="166" spans="1:12">
      <c r="A166">
        <v>2015</v>
      </c>
      <c r="B166" s="10">
        <v>322600</v>
      </c>
      <c r="C166" s="10" t="s">
        <v>164</v>
      </c>
      <c r="D166" s="11">
        <v>160237.23000000001</v>
      </c>
      <c r="E166" s="6"/>
      <c r="F166" s="7"/>
      <c r="G166" s="7"/>
      <c r="H166" s="7"/>
      <c r="I166" s="7"/>
      <c r="J166" s="7"/>
      <c r="K166" s="7"/>
      <c r="L166" s="7"/>
    </row>
    <row r="167" spans="1:12">
      <c r="A167">
        <v>2015</v>
      </c>
      <c r="B167" s="10">
        <v>322700</v>
      </c>
      <c r="C167" s="10" t="s">
        <v>165</v>
      </c>
      <c r="D167" s="11">
        <v>130740.65</v>
      </c>
      <c r="E167" s="6"/>
      <c r="F167" s="7"/>
      <c r="G167" s="7"/>
      <c r="H167" s="7"/>
      <c r="I167" s="7"/>
      <c r="J167" s="7"/>
      <c r="K167" s="7"/>
      <c r="L167" s="7"/>
    </row>
    <row r="168" spans="1:12">
      <c r="A168">
        <v>2015</v>
      </c>
      <c r="B168" s="10">
        <v>323000</v>
      </c>
      <c r="C168" s="10" t="s">
        <v>166</v>
      </c>
      <c r="D168" s="11">
        <v>130287.54</v>
      </c>
      <c r="E168" s="6"/>
      <c r="F168" s="7"/>
      <c r="G168" s="7"/>
      <c r="H168" s="7"/>
      <c r="I168" s="7"/>
      <c r="J168" s="7"/>
      <c r="K168" s="7"/>
      <c r="L168" s="7"/>
    </row>
    <row r="169" spans="1:12">
      <c r="A169">
        <v>2015</v>
      </c>
      <c r="B169" s="10">
        <v>323100</v>
      </c>
      <c r="C169" s="10" t="s">
        <v>167</v>
      </c>
      <c r="D169" s="11">
        <v>69364.899999999994</v>
      </c>
      <c r="E169" s="6"/>
      <c r="F169" s="7"/>
      <c r="G169" s="7"/>
      <c r="H169" s="7"/>
      <c r="I169" s="7"/>
      <c r="J169" s="7"/>
      <c r="K169" s="7"/>
      <c r="L169" s="7"/>
    </row>
    <row r="170" spans="1:12">
      <c r="A170">
        <v>2015</v>
      </c>
      <c r="B170" s="10">
        <v>323200</v>
      </c>
      <c r="C170" s="10" t="s">
        <v>168</v>
      </c>
      <c r="D170" s="11">
        <v>124996.02</v>
      </c>
      <c r="E170" s="6"/>
      <c r="F170" s="7"/>
      <c r="G170" s="7"/>
      <c r="H170" s="7"/>
      <c r="I170" s="7"/>
      <c r="J170" s="7"/>
      <c r="K170" s="7"/>
      <c r="L170" s="7"/>
    </row>
    <row r="171" spans="1:12">
      <c r="A171">
        <v>2015</v>
      </c>
      <c r="B171" s="10">
        <v>323400</v>
      </c>
      <c r="C171" s="10" t="s">
        <v>169</v>
      </c>
      <c r="D171" s="11">
        <v>40178.47</v>
      </c>
      <c r="E171" s="6"/>
      <c r="F171" s="7"/>
      <c r="G171" s="7"/>
      <c r="H171" s="7"/>
      <c r="I171" s="7"/>
      <c r="J171" s="7"/>
      <c r="K171" s="7"/>
      <c r="L171" s="7"/>
    </row>
    <row r="172" spans="1:12">
      <c r="A172">
        <v>2015</v>
      </c>
      <c r="B172" s="10">
        <v>323500</v>
      </c>
      <c r="C172" s="10" t="s">
        <v>170</v>
      </c>
      <c r="D172" s="11">
        <v>125962.76</v>
      </c>
      <c r="E172" s="6"/>
      <c r="F172" s="7"/>
      <c r="G172" s="7"/>
      <c r="H172" s="7"/>
      <c r="I172" s="7"/>
      <c r="J172" s="7"/>
      <c r="K172" s="7"/>
      <c r="L172" s="7"/>
    </row>
    <row r="173" spans="1:12">
      <c r="A173">
        <v>2015</v>
      </c>
      <c r="B173" s="10">
        <v>323600</v>
      </c>
      <c r="C173" s="10" t="s">
        <v>171</v>
      </c>
      <c r="D173" s="11">
        <v>51941.88</v>
      </c>
      <c r="E173" s="6"/>
      <c r="F173" s="7"/>
      <c r="G173" s="7"/>
      <c r="H173" s="7"/>
      <c r="I173" s="7"/>
      <c r="J173" s="7"/>
      <c r="K173" s="7"/>
      <c r="L173" s="7"/>
    </row>
    <row r="174" spans="1:12">
      <c r="A174">
        <v>2015</v>
      </c>
      <c r="B174" s="10">
        <v>323700</v>
      </c>
      <c r="C174" s="10" t="s">
        <v>172</v>
      </c>
      <c r="D174" s="11">
        <v>565181.24</v>
      </c>
      <c r="E174" s="6"/>
      <c r="F174" s="7"/>
      <c r="G174" s="7"/>
      <c r="H174" s="7"/>
      <c r="I174" s="7"/>
      <c r="J174" s="5"/>
      <c r="K174" s="7"/>
      <c r="L174" s="7"/>
    </row>
    <row r="175" spans="1:12">
      <c r="A175">
        <v>2015</v>
      </c>
      <c r="B175" s="10">
        <v>323800</v>
      </c>
      <c r="C175" s="10" t="s">
        <v>173</v>
      </c>
      <c r="D175" s="11">
        <v>95198.89</v>
      </c>
      <c r="E175" s="6"/>
      <c r="F175" s="7"/>
      <c r="G175" s="7"/>
      <c r="H175" s="7"/>
      <c r="I175" s="7"/>
      <c r="J175" s="7"/>
      <c r="K175" s="7"/>
      <c r="L175" s="7"/>
    </row>
    <row r="176" spans="1:12">
      <c r="A176">
        <v>2015</v>
      </c>
      <c r="B176" s="10">
        <v>323900</v>
      </c>
      <c r="C176" s="10" t="s">
        <v>174</v>
      </c>
      <c r="D176" s="11">
        <v>64780.28</v>
      </c>
      <c r="E176" s="6"/>
      <c r="F176" s="7"/>
      <c r="G176" s="7"/>
      <c r="H176" s="7"/>
      <c r="I176" s="7"/>
      <c r="J176" s="7"/>
      <c r="K176" s="7"/>
      <c r="L176" s="7"/>
    </row>
    <row r="177" spans="1:12">
      <c r="A177">
        <v>2015</v>
      </c>
      <c r="B177" s="10">
        <v>324000</v>
      </c>
      <c r="C177" s="10" t="s">
        <v>175</v>
      </c>
      <c r="D177" s="11">
        <v>139893.53</v>
      </c>
      <c r="E177" s="6"/>
      <c r="F177" s="7"/>
      <c r="G177" s="7"/>
      <c r="H177" s="7"/>
      <c r="I177" s="7"/>
      <c r="J177" s="7"/>
      <c r="K177" s="7"/>
      <c r="L177" s="7"/>
    </row>
    <row r="178" spans="1:12">
      <c r="A178">
        <v>2015</v>
      </c>
      <c r="B178" s="10">
        <v>324100</v>
      </c>
      <c r="C178" s="10" t="s">
        <v>176</v>
      </c>
      <c r="D178" s="11">
        <v>58772.22</v>
      </c>
      <c r="E178" s="6"/>
      <c r="F178" s="7"/>
      <c r="G178" s="7"/>
      <c r="H178" s="7"/>
      <c r="I178" s="7"/>
      <c r="J178" s="7"/>
      <c r="K178" s="7"/>
      <c r="L178" s="7"/>
    </row>
    <row r="179" spans="1:12">
      <c r="A179">
        <v>2015</v>
      </c>
      <c r="B179" s="10">
        <v>324600</v>
      </c>
      <c r="C179" s="10" t="s">
        <v>177</v>
      </c>
      <c r="D179" s="11">
        <v>241336.84</v>
      </c>
      <c r="E179" s="6"/>
      <c r="F179" s="7"/>
      <c r="G179" s="7"/>
      <c r="H179" s="7"/>
      <c r="I179" s="7"/>
      <c r="J179" s="7"/>
      <c r="K179" s="7"/>
      <c r="L179" s="7"/>
    </row>
    <row r="180" spans="1:12">
      <c r="A180">
        <v>2015</v>
      </c>
      <c r="B180" s="10">
        <v>324700</v>
      </c>
      <c r="C180" s="10" t="s">
        <v>178</v>
      </c>
      <c r="D180" s="11">
        <v>53821.64</v>
      </c>
      <c r="E180" s="6"/>
      <c r="F180" s="7"/>
      <c r="G180" s="7"/>
      <c r="H180" s="7"/>
      <c r="I180" s="7"/>
      <c r="J180" s="7"/>
      <c r="K180" s="7"/>
      <c r="L180" s="7"/>
    </row>
    <row r="181" spans="1:12">
      <c r="A181">
        <v>2015</v>
      </c>
      <c r="B181" s="10">
        <v>324900</v>
      </c>
      <c r="C181" s="10" t="s">
        <v>179</v>
      </c>
      <c r="D181" s="11">
        <v>156771.47</v>
      </c>
      <c r="E181" s="6"/>
      <c r="F181" s="7"/>
      <c r="G181" s="7"/>
      <c r="H181" s="7"/>
      <c r="I181" s="7"/>
      <c r="J181" s="7"/>
      <c r="K181" s="7"/>
      <c r="L181" s="7"/>
    </row>
    <row r="182" spans="1:12">
      <c r="A182">
        <v>2015</v>
      </c>
      <c r="B182" s="10">
        <v>325000</v>
      </c>
      <c r="C182" s="10" t="s">
        <v>180</v>
      </c>
      <c r="D182" s="11">
        <v>107648.24</v>
      </c>
      <c r="E182" s="6"/>
      <c r="F182" s="7"/>
      <c r="G182" s="7"/>
      <c r="H182" s="7"/>
      <c r="I182" s="7"/>
      <c r="J182" s="7"/>
      <c r="K182" s="7"/>
      <c r="L182" s="7"/>
    </row>
    <row r="183" spans="1:12">
      <c r="A183">
        <v>2015</v>
      </c>
      <c r="B183" s="10">
        <v>325300</v>
      </c>
      <c r="C183" s="10" t="s">
        <v>181</v>
      </c>
      <c r="D183" s="11">
        <v>48407.22</v>
      </c>
      <c r="E183" s="6"/>
      <c r="F183" s="7"/>
      <c r="G183" s="7"/>
      <c r="H183" s="7"/>
      <c r="I183" s="7"/>
      <c r="J183" s="7"/>
      <c r="K183" s="7"/>
      <c r="L183" s="7"/>
    </row>
    <row r="184" spans="1:12">
      <c r="A184">
        <v>2015</v>
      </c>
      <c r="B184" s="10">
        <v>325500</v>
      </c>
      <c r="C184" s="10" t="s">
        <v>182</v>
      </c>
      <c r="D184" s="11">
        <v>21645.63</v>
      </c>
      <c r="E184" s="6"/>
      <c r="F184" s="7"/>
      <c r="G184" s="7"/>
      <c r="H184" s="7"/>
      <c r="I184" s="7"/>
      <c r="J184" s="7"/>
      <c r="K184" s="7"/>
      <c r="L184" s="7"/>
    </row>
    <row r="185" spans="1:12">
      <c r="A185">
        <v>2015</v>
      </c>
      <c r="B185" s="10">
        <v>325600</v>
      </c>
      <c r="C185" s="10" t="s">
        <v>183</v>
      </c>
      <c r="D185" s="11">
        <v>50514.32</v>
      </c>
      <c r="E185" s="6"/>
      <c r="F185" s="7"/>
      <c r="G185" s="7"/>
      <c r="H185" s="7"/>
      <c r="I185" s="7"/>
      <c r="J185" s="7"/>
      <c r="K185" s="7"/>
      <c r="L185" s="7"/>
    </row>
    <row r="186" spans="1:12">
      <c r="A186">
        <v>2015</v>
      </c>
      <c r="B186" s="10">
        <v>325700</v>
      </c>
      <c r="C186" s="10" t="s">
        <v>184</v>
      </c>
      <c r="D186" s="11">
        <v>174925.58</v>
      </c>
      <c r="E186" s="6"/>
      <c r="F186" s="7"/>
      <c r="G186" s="7"/>
      <c r="H186" s="7"/>
      <c r="I186" s="7"/>
      <c r="J186" s="7"/>
      <c r="K186" s="7"/>
      <c r="L186" s="7"/>
    </row>
    <row r="187" spans="1:12">
      <c r="A187">
        <v>2015</v>
      </c>
      <c r="B187" s="10">
        <v>325710</v>
      </c>
      <c r="C187" s="10" t="s">
        <v>185</v>
      </c>
      <c r="D187" s="11">
        <v>105146.08</v>
      </c>
      <c r="E187" s="6"/>
      <c r="F187" s="7"/>
      <c r="G187" s="7"/>
      <c r="H187" s="7"/>
      <c r="I187" s="7"/>
      <c r="J187" s="7"/>
      <c r="K187" s="7"/>
      <c r="L187" s="7"/>
    </row>
    <row r="188" spans="1:12">
      <c r="A188">
        <v>2015</v>
      </c>
      <c r="B188" s="10">
        <v>325800</v>
      </c>
      <c r="C188" s="10" t="s">
        <v>186</v>
      </c>
      <c r="D188" s="11">
        <v>700088.62</v>
      </c>
      <c r="E188" s="6"/>
      <c r="F188" s="7"/>
      <c r="G188" s="7"/>
      <c r="H188" s="7"/>
      <c r="I188" s="7"/>
      <c r="J188" s="7"/>
      <c r="K188" s="7"/>
      <c r="L188" s="7"/>
    </row>
    <row r="189" spans="1:12">
      <c r="A189">
        <v>2015</v>
      </c>
      <c r="B189" s="10">
        <v>325900</v>
      </c>
      <c r="C189" s="10" t="s">
        <v>187</v>
      </c>
      <c r="D189" s="11">
        <v>105354.46</v>
      </c>
      <c r="E189" s="6"/>
      <c r="F189" s="7"/>
      <c r="G189" s="7"/>
      <c r="H189" s="7"/>
      <c r="I189" s="7"/>
      <c r="J189" s="7"/>
      <c r="K189" s="7"/>
      <c r="L189" s="7"/>
    </row>
    <row r="190" spans="1:12">
      <c r="A190">
        <v>2015</v>
      </c>
      <c r="B190" s="10">
        <v>326000</v>
      </c>
      <c r="C190" s="10" t="s">
        <v>188</v>
      </c>
      <c r="D190" s="11">
        <v>14402.31</v>
      </c>
      <c r="E190" s="6"/>
      <c r="F190" s="7"/>
      <c r="G190" s="7"/>
      <c r="H190" s="7"/>
      <c r="I190" s="7"/>
      <c r="J190" s="7"/>
      <c r="K190" s="7"/>
      <c r="L190" s="7"/>
    </row>
    <row r="191" spans="1:12">
      <c r="A191">
        <v>2015</v>
      </c>
      <c r="B191" s="10">
        <v>326100</v>
      </c>
      <c r="C191" s="10" t="s">
        <v>189</v>
      </c>
      <c r="D191" s="11">
        <v>270761.12</v>
      </c>
      <c r="E191" s="6"/>
      <c r="F191" s="7"/>
      <c r="G191" s="7"/>
      <c r="H191" s="7"/>
      <c r="I191" s="7"/>
      <c r="J191" s="7"/>
      <c r="K191" s="7"/>
      <c r="L191" s="7"/>
    </row>
    <row r="192" spans="1:12">
      <c r="A192">
        <v>2015</v>
      </c>
      <c r="B192" s="10">
        <v>326300</v>
      </c>
      <c r="C192" s="10" t="s">
        <v>190</v>
      </c>
      <c r="D192" s="11">
        <v>697308.14</v>
      </c>
      <c r="E192" s="6"/>
      <c r="F192" s="7"/>
      <c r="G192" s="7"/>
      <c r="H192" s="7"/>
      <c r="I192" s="7"/>
      <c r="J192" s="5"/>
      <c r="K192" s="7"/>
      <c r="L192" s="7"/>
    </row>
    <row r="193" spans="1:12">
      <c r="A193">
        <v>2015</v>
      </c>
      <c r="B193" s="10">
        <v>326400</v>
      </c>
      <c r="C193" s="10" t="s">
        <v>191</v>
      </c>
      <c r="D193" s="11">
        <v>86220.4</v>
      </c>
      <c r="E193" s="6"/>
      <c r="F193" s="7"/>
      <c r="G193" s="7"/>
      <c r="H193" s="7"/>
      <c r="I193" s="7"/>
      <c r="J193" s="7"/>
      <c r="K193" s="7"/>
      <c r="L193" s="7"/>
    </row>
    <row r="194" spans="1:12">
      <c r="A194">
        <v>2015</v>
      </c>
      <c r="B194" s="10">
        <v>326500</v>
      </c>
      <c r="C194" s="10" t="s">
        <v>192</v>
      </c>
      <c r="D194" s="11">
        <v>34558.94</v>
      </c>
      <c r="E194" s="6"/>
      <c r="F194" s="7"/>
      <c r="G194" s="7"/>
      <c r="H194" s="7"/>
      <c r="I194" s="7"/>
      <c r="J194" s="5"/>
      <c r="K194" s="7"/>
      <c r="L194" s="7"/>
    </row>
    <row r="195" spans="1:12">
      <c r="A195">
        <v>2015</v>
      </c>
      <c r="B195" s="10">
        <v>326600</v>
      </c>
      <c r="C195" s="10" t="s">
        <v>193</v>
      </c>
      <c r="D195" s="11">
        <v>23782.79</v>
      </c>
      <c r="E195" s="6"/>
      <c r="F195" s="7"/>
      <c r="G195" s="7"/>
      <c r="H195" s="7"/>
      <c r="I195" s="7"/>
      <c r="J195" s="7"/>
      <c r="K195" s="7"/>
      <c r="L195" s="7"/>
    </row>
    <row r="196" spans="1:12">
      <c r="A196">
        <v>2015</v>
      </c>
      <c r="B196" s="10">
        <v>326700</v>
      </c>
      <c r="C196" s="10" t="s">
        <v>194</v>
      </c>
      <c r="D196" s="11">
        <v>157988.42000000001</v>
      </c>
      <c r="E196" s="6"/>
      <c r="F196" s="7"/>
      <c r="G196" s="7"/>
      <c r="H196" s="7"/>
      <c r="I196" s="7"/>
      <c r="J196" s="7"/>
      <c r="K196" s="7"/>
      <c r="L196" s="7"/>
    </row>
    <row r="197" spans="1:12">
      <c r="A197">
        <v>2015</v>
      </c>
      <c r="B197" s="10">
        <v>326800</v>
      </c>
      <c r="C197" s="10" t="s">
        <v>195</v>
      </c>
      <c r="D197" s="11">
        <v>62652.53</v>
      </c>
      <c r="E197" s="6"/>
      <c r="F197" s="7"/>
      <c r="G197" s="7"/>
      <c r="H197" s="7"/>
      <c r="I197" s="7"/>
      <c r="J197" s="7"/>
      <c r="K197" s="7"/>
      <c r="L197" s="7"/>
    </row>
    <row r="198" spans="1:12">
      <c r="A198">
        <v>2015</v>
      </c>
      <c r="B198" s="10">
        <v>326900</v>
      </c>
      <c r="C198" s="10" t="s">
        <v>196</v>
      </c>
      <c r="D198" s="11">
        <v>1047142.18</v>
      </c>
      <c r="E198" s="6"/>
      <c r="F198" s="7"/>
      <c r="G198" s="7"/>
      <c r="H198" s="7"/>
      <c r="I198" s="7"/>
      <c r="J198" s="5"/>
      <c r="K198" s="7"/>
      <c r="L198" s="7"/>
    </row>
    <row r="199" spans="1:12">
      <c r="A199">
        <v>2015</v>
      </c>
      <c r="B199" s="10">
        <v>327100</v>
      </c>
      <c r="C199" s="10" t="s">
        <v>197</v>
      </c>
      <c r="D199" s="11">
        <v>616133.89</v>
      </c>
      <c r="E199" s="6"/>
      <c r="F199" s="7"/>
      <c r="G199" s="7"/>
      <c r="H199" s="7"/>
      <c r="I199" s="7"/>
      <c r="J199" s="7"/>
      <c r="K199" s="7"/>
      <c r="L199" s="7"/>
    </row>
    <row r="200" spans="1:12">
      <c r="A200">
        <v>2015</v>
      </c>
      <c r="B200" s="10">
        <v>327300</v>
      </c>
      <c r="C200" s="10" t="s">
        <v>198</v>
      </c>
      <c r="D200" s="11">
        <v>295410.26</v>
      </c>
      <c r="E200" s="6"/>
      <c r="F200" s="7"/>
      <c r="G200" s="7"/>
      <c r="H200" s="7"/>
      <c r="I200" s="7"/>
      <c r="J200" s="7"/>
      <c r="K200" s="7"/>
      <c r="L200" s="7"/>
    </row>
    <row r="201" spans="1:12">
      <c r="A201">
        <v>2015</v>
      </c>
      <c r="B201" s="10">
        <v>327600</v>
      </c>
      <c r="C201" s="10" t="s">
        <v>199</v>
      </c>
      <c r="D201" s="11">
        <v>707073.88</v>
      </c>
      <c r="E201" s="6"/>
      <c r="F201" s="7"/>
      <c r="G201" s="7"/>
      <c r="H201" s="7"/>
      <c r="I201" s="7"/>
      <c r="J201" s="7"/>
      <c r="K201" s="7"/>
      <c r="L201" s="7"/>
    </row>
    <row r="202" spans="1:12">
      <c r="A202">
        <v>2015</v>
      </c>
      <c r="B202" s="10">
        <v>327700</v>
      </c>
      <c r="C202" s="10" t="s">
        <v>200</v>
      </c>
      <c r="D202" s="11">
        <v>254791.36</v>
      </c>
      <c r="E202" s="6"/>
      <c r="F202" s="7"/>
      <c r="G202" s="7"/>
      <c r="H202" s="7"/>
      <c r="I202" s="7"/>
      <c r="J202" s="5"/>
      <c r="K202" s="7"/>
      <c r="L202" s="7"/>
    </row>
    <row r="203" spans="1:12">
      <c r="A203">
        <v>2015</v>
      </c>
      <c r="B203" s="10">
        <v>327810</v>
      </c>
      <c r="C203" s="10" t="s">
        <v>201</v>
      </c>
      <c r="D203" s="11">
        <v>19474.580000000002</v>
      </c>
      <c r="E203" s="6"/>
      <c r="F203" s="7"/>
      <c r="G203" s="7"/>
      <c r="H203" s="7"/>
      <c r="I203" s="7"/>
      <c r="J203" s="7"/>
      <c r="K203" s="7"/>
      <c r="L203" s="7"/>
    </row>
    <row r="204" spans="1:12">
      <c r="A204">
        <v>2015</v>
      </c>
      <c r="B204" s="10">
        <v>327850</v>
      </c>
      <c r="C204" s="10" t="s">
        <v>202</v>
      </c>
      <c r="D204" s="11">
        <v>8350.44</v>
      </c>
      <c r="E204" s="6"/>
      <c r="F204" s="7"/>
      <c r="G204" s="7"/>
      <c r="H204" s="7"/>
      <c r="I204" s="7"/>
      <c r="J204" s="5"/>
      <c r="K204" s="7"/>
      <c r="L204" s="7"/>
    </row>
    <row r="205" spans="1:12">
      <c r="A205">
        <v>2015</v>
      </c>
      <c r="B205" s="10">
        <v>327890</v>
      </c>
      <c r="C205" s="10" t="s">
        <v>203</v>
      </c>
      <c r="E205" s="6"/>
      <c r="F205" s="5"/>
      <c r="G205" s="5"/>
      <c r="H205" s="5"/>
      <c r="I205" s="5"/>
      <c r="J205" s="7"/>
      <c r="K205" s="5"/>
      <c r="L205" s="5"/>
    </row>
    <row r="206" spans="1:12">
      <c r="A206">
        <v>2015</v>
      </c>
      <c r="B206" s="10">
        <v>327900</v>
      </c>
      <c r="C206" s="10" t="s">
        <v>204</v>
      </c>
      <c r="D206" s="11">
        <v>230714.04</v>
      </c>
      <c r="E206" s="6"/>
      <c r="F206" s="7"/>
      <c r="G206" s="7"/>
      <c r="H206" s="7"/>
      <c r="I206" s="7"/>
      <c r="J206" s="5"/>
      <c r="K206" s="7"/>
      <c r="L206" s="7"/>
    </row>
    <row r="207" spans="1:12">
      <c r="A207">
        <v>2015</v>
      </c>
      <c r="B207" s="10">
        <v>328100</v>
      </c>
      <c r="C207" s="10" t="s">
        <v>205</v>
      </c>
      <c r="D207" s="11">
        <v>345907.97</v>
      </c>
      <c r="E207" s="6"/>
      <c r="F207" s="7"/>
      <c r="G207" s="7"/>
      <c r="H207" s="7"/>
      <c r="I207" s="7"/>
      <c r="J207" s="7"/>
      <c r="K207" s="7"/>
      <c r="L207" s="7"/>
    </row>
    <row r="208" spans="1:12">
      <c r="A208">
        <v>2015</v>
      </c>
      <c r="B208" s="10">
        <v>328300</v>
      </c>
      <c r="C208" s="10" t="s">
        <v>206</v>
      </c>
      <c r="D208" s="11">
        <v>85346.87</v>
      </c>
      <c r="E208" s="6"/>
      <c r="F208" s="7"/>
      <c r="G208" s="7"/>
      <c r="H208" s="7"/>
      <c r="I208" s="7"/>
      <c r="J208" s="7"/>
      <c r="K208" s="7"/>
      <c r="L208" s="7"/>
    </row>
    <row r="209" spans="1:12">
      <c r="A209">
        <v>2015</v>
      </c>
      <c r="B209" s="10">
        <v>328400</v>
      </c>
      <c r="C209" s="10" t="s">
        <v>207</v>
      </c>
      <c r="D209" s="11">
        <v>368073.12</v>
      </c>
      <c r="E209" s="6"/>
      <c r="F209" s="7"/>
      <c r="G209" s="7"/>
      <c r="H209" s="7"/>
      <c r="I209" s="7"/>
      <c r="J209" s="5"/>
      <c r="K209" s="7"/>
      <c r="L209" s="7"/>
    </row>
    <row r="210" spans="1:12">
      <c r="A210">
        <v>2015</v>
      </c>
      <c r="B210" s="10">
        <v>328500</v>
      </c>
      <c r="C210" s="10" t="s">
        <v>208</v>
      </c>
      <c r="D210" s="11">
        <v>41201.29</v>
      </c>
      <c r="E210" s="6"/>
      <c r="F210" s="7"/>
      <c r="G210" s="7"/>
      <c r="H210" s="7"/>
      <c r="I210" s="7"/>
      <c r="J210" s="7"/>
      <c r="K210" s="7"/>
      <c r="L210" s="7"/>
    </row>
    <row r="211" spans="1:12">
      <c r="A211">
        <v>2015</v>
      </c>
      <c r="B211" s="10">
        <v>328600</v>
      </c>
      <c r="C211" s="10" t="s">
        <v>209</v>
      </c>
      <c r="D211" s="11">
        <v>121062.37</v>
      </c>
      <c r="E211" s="6"/>
      <c r="F211" s="7"/>
      <c r="G211" s="7"/>
      <c r="H211" s="7"/>
      <c r="I211" s="7"/>
      <c r="J211" s="7"/>
      <c r="K211" s="7"/>
      <c r="L211" s="7"/>
    </row>
    <row r="212" spans="1:12">
      <c r="A212">
        <v>2015</v>
      </c>
      <c r="B212" s="10">
        <v>328700</v>
      </c>
      <c r="C212" s="10" t="s">
        <v>210</v>
      </c>
      <c r="D212" s="11">
        <v>139861.76000000001</v>
      </c>
      <c r="E212" s="6"/>
      <c r="F212" s="7"/>
      <c r="G212" s="7"/>
      <c r="H212" s="7"/>
      <c r="I212" s="7"/>
      <c r="J212" s="5"/>
      <c r="K212" s="7"/>
      <c r="L212" s="7"/>
    </row>
    <row r="213" spans="1:12">
      <c r="A213">
        <v>2015</v>
      </c>
      <c r="B213" s="10">
        <v>328800</v>
      </c>
      <c r="C213" s="10" t="s">
        <v>211</v>
      </c>
      <c r="D213" s="11">
        <v>106620.19</v>
      </c>
      <c r="E213" s="6"/>
      <c r="F213" s="7"/>
      <c r="G213" s="7"/>
      <c r="H213" s="7"/>
      <c r="I213" s="7"/>
      <c r="J213" s="5"/>
      <c r="K213" s="7"/>
      <c r="L213" s="7"/>
    </row>
    <row r="214" spans="1:12">
      <c r="A214">
        <v>2015</v>
      </c>
      <c r="B214" s="10">
        <v>329100</v>
      </c>
      <c r="C214" s="10" t="s">
        <v>212</v>
      </c>
      <c r="D214" s="11">
        <v>1362.59</v>
      </c>
      <c r="E214" s="6"/>
      <c r="F214" s="7"/>
      <c r="G214" s="7"/>
      <c r="H214" s="7"/>
      <c r="I214" s="7"/>
      <c r="J214" s="7"/>
      <c r="K214" s="7"/>
      <c r="L214" s="7"/>
    </row>
    <row r="215" spans="1:12">
      <c r="A215">
        <v>2015</v>
      </c>
      <c r="B215" s="10">
        <v>329300</v>
      </c>
      <c r="C215" s="10" t="s">
        <v>213</v>
      </c>
      <c r="D215" s="11">
        <v>12935.92</v>
      </c>
      <c r="E215" s="6"/>
      <c r="F215" s="7"/>
      <c r="G215" s="7"/>
      <c r="H215" s="7"/>
      <c r="I215" s="7"/>
      <c r="J215" s="7"/>
      <c r="K215" s="7"/>
      <c r="L215" s="7"/>
    </row>
    <row r="216" spans="1:12">
      <c r="A216">
        <v>2015</v>
      </c>
      <c r="B216" s="10">
        <v>329400</v>
      </c>
      <c r="C216" s="10" t="s">
        <v>214</v>
      </c>
      <c r="E216" s="6"/>
      <c r="F216" s="5"/>
      <c r="G216" s="5"/>
      <c r="H216" s="5"/>
      <c r="I216" s="5"/>
      <c r="J216" s="7"/>
      <c r="K216" s="5"/>
      <c r="L216" s="5"/>
    </row>
    <row r="217" spans="1:12">
      <c r="A217">
        <v>2015</v>
      </c>
      <c r="B217" s="10">
        <v>329700</v>
      </c>
      <c r="C217" s="10" t="s">
        <v>215</v>
      </c>
      <c r="D217" s="11">
        <v>666337.46</v>
      </c>
      <c r="E217" s="6"/>
      <c r="F217" s="7"/>
      <c r="G217" s="7"/>
      <c r="H217" s="7"/>
      <c r="I217" s="7"/>
      <c r="J217" s="7"/>
      <c r="K217" s="7"/>
      <c r="L217" s="7"/>
    </row>
    <row r="218" spans="1:12">
      <c r="A218">
        <v>2015</v>
      </c>
      <c r="B218" s="10">
        <v>329800</v>
      </c>
      <c r="C218" s="10" t="s">
        <v>216</v>
      </c>
      <c r="D218" s="11">
        <v>426428.71</v>
      </c>
      <c r="E218" s="6"/>
      <c r="F218" s="7"/>
      <c r="G218" s="7"/>
      <c r="H218" s="7"/>
      <c r="I218" s="7"/>
      <c r="J218" s="7"/>
      <c r="K218" s="7"/>
      <c r="L218" s="7"/>
    </row>
    <row r="219" spans="1:12">
      <c r="A219">
        <v>2015</v>
      </c>
      <c r="B219" s="10">
        <v>329900</v>
      </c>
      <c r="C219" s="10" t="s">
        <v>217</v>
      </c>
      <c r="D219" s="11">
        <v>205878.22</v>
      </c>
      <c r="E219" s="6"/>
      <c r="F219" s="7"/>
      <c r="G219" s="7"/>
      <c r="H219" s="7"/>
      <c r="I219" s="7"/>
      <c r="J219" s="7"/>
      <c r="K219" s="7"/>
      <c r="L219" s="7"/>
    </row>
    <row r="220" spans="1:12">
      <c r="A220">
        <v>2015</v>
      </c>
      <c r="B220" s="10">
        <v>330600</v>
      </c>
      <c r="C220" s="10" t="s">
        <v>218</v>
      </c>
      <c r="D220" s="11">
        <v>114555.98</v>
      </c>
      <c r="E220" s="6"/>
      <c r="F220" s="7"/>
      <c r="G220" s="7"/>
      <c r="H220" s="7"/>
      <c r="I220" s="7"/>
      <c r="J220" s="7"/>
      <c r="K220" s="7"/>
      <c r="L220" s="7"/>
    </row>
    <row r="221" spans="1:12">
      <c r="A221">
        <v>2015</v>
      </c>
      <c r="B221" s="10">
        <v>330900</v>
      </c>
      <c r="C221" s="10" t="s">
        <v>219</v>
      </c>
      <c r="D221" s="11">
        <v>864075.3</v>
      </c>
      <c r="E221" s="6"/>
      <c r="F221" s="7"/>
      <c r="G221" s="7"/>
      <c r="H221" s="7"/>
      <c r="I221" s="7"/>
      <c r="J221" s="7"/>
      <c r="K221" s="7"/>
      <c r="L221" s="7"/>
    </row>
    <row r="222" spans="1:12">
      <c r="A222">
        <v>2015</v>
      </c>
      <c r="B222" s="10">
        <v>331000</v>
      </c>
      <c r="C222" s="10" t="s">
        <v>220</v>
      </c>
      <c r="D222" s="11">
        <v>449255.48</v>
      </c>
      <c r="E222" s="6"/>
      <c r="F222" s="7"/>
      <c r="G222" s="7"/>
      <c r="H222" s="7"/>
      <c r="I222" s="7"/>
      <c r="J222" s="7"/>
      <c r="K222" s="7"/>
      <c r="L222" s="7"/>
    </row>
    <row r="223" spans="1:12">
      <c r="A223">
        <v>2015</v>
      </c>
      <c r="B223" s="10">
        <v>331200</v>
      </c>
      <c r="C223" s="10" t="s">
        <v>221</v>
      </c>
      <c r="D223" s="11">
        <v>310070.37</v>
      </c>
      <c r="E223" s="6"/>
      <c r="F223" s="7"/>
      <c r="G223" s="7"/>
      <c r="H223" s="7"/>
      <c r="I223" s="7"/>
      <c r="J223" s="7"/>
      <c r="K223" s="7"/>
      <c r="L223" s="7"/>
    </row>
    <row r="224" spans="1:12">
      <c r="A224">
        <v>2015</v>
      </c>
      <c r="B224" s="10">
        <v>331300</v>
      </c>
      <c r="C224" s="10" t="s">
        <v>222</v>
      </c>
      <c r="D224" s="11">
        <v>51181.43</v>
      </c>
      <c r="E224" s="6"/>
      <c r="F224" s="7"/>
      <c r="G224" s="7"/>
      <c r="H224" s="7"/>
      <c r="I224" s="7"/>
      <c r="J224" s="7"/>
      <c r="K224" s="7"/>
      <c r="L224" s="7"/>
    </row>
    <row r="225" spans="1:15">
      <c r="A225">
        <v>2015</v>
      </c>
      <c r="B225" s="10">
        <v>331400</v>
      </c>
      <c r="C225" s="10" t="s">
        <v>223</v>
      </c>
      <c r="D225" s="11">
        <v>158363.23000000001</v>
      </c>
      <c r="E225" s="6"/>
      <c r="F225" s="7"/>
      <c r="G225" s="7"/>
      <c r="H225" s="7"/>
      <c r="I225" s="7"/>
      <c r="J225" s="5"/>
      <c r="K225" s="7"/>
      <c r="L225" s="7"/>
    </row>
    <row r="226" spans="1:15">
      <c r="A226">
        <v>2015</v>
      </c>
      <c r="B226" s="10">
        <v>331900</v>
      </c>
      <c r="C226" s="10" t="s">
        <v>224</v>
      </c>
      <c r="D226" s="11">
        <v>297423.09999999998</v>
      </c>
      <c r="E226" s="6"/>
      <c r="F226" s="7"/>
      <c r="G226" s="7"/>
      <c r="H226" s="7"/>
      <c r="I226" s="7"/>
      <c r="J226" s="7"/>
      <c r="K226" s="7"/>
      <c r="L226" s="7"/>
    </row>
    <row r="227" spans="1:15">
      <c r="A227">
        <v>2015</v>
      </c>
      <c r="B227" s="10">
        <v>332000</v>
      </c>
      <c r="C227" s="10" t="s">
        <v>225</v>
      </c>
      <c r="D227" s="11">
        <v>354434.79</v>
      </c>
      <c r="E227" s="6"/>
      <c r="F227" s="7"/>
      <c r="G227" s="7"/>
      <c r="H227" s="7"/>
      <c r="I227" s="7"/>
      <c r="J227" s="7"/>
      <c r="K227" s="7"/>
      <c r="L227" s="7"/>
    </row>
    <row r="228" spans="1:15">
      <c r="A228">
        <v>2015</v>
      </c>
      <c r="B228" s="10">
        <v>332400</v>
      </c>
      <c r="C228" s="10" t="s">
        <v>226</v>
      </c>
      <c r="D228" s="11">
        <v>939843.64</v>
      </c>
      <c r="E228" s="6"/>
      <c r="F228" s="7"/>
      <c r="G228" s="7"/>
      <c r="H228" s="7"/>
      <c r="I228" s="7"/>
      <c r="J228" s="7"/>
      <c r="K228" s="7"/>
      <c r="L228" s="7"/>
    </row>
    <row r="229" spans="1:15">
      <c r="A229">
        <v>2015</v>
      </c>
      <c r="B229" s="10">
        <v>332500</v>
      </c>
      <c r="C229" s="10" t="s">
        <v>227</v>
      </c>
      <c r="D229" s="11">
        <v>968958.88</v>
      </c>
      <c r="E229" s="6"/>
      <c r="F229" s="7"/>
      <c r="G229" s="7"/>
      <c r="H229" s="7"/>
      <c r="I229" s="7"/>
      <c r="J229" s="7"/>
      <c r="K229" s="7"/>
      <c r="L229" s="7"/>
    </row>
    <row r="230" spans="1:15">
      <c r="A230">
        <v>2015</v>
      </c>
      <c r="B230" s="10">
        <v>332600</v>
      </c>
      <c r="C230" s="10" t="s">
        <v>228</v>
      </c>
      <c r="D230" s="11">
        <v>284024.90999999997</v>
      </c>
      <c r="E230" s="6"/>
      <c r="F230" s="7"/>
      <c r="G230" s="7"/>
      <c r="H230" s="7"/>
      <c r="I230" s="7"/>
      <c r="J230" s="7"/>
      <c r="K230" s="7"/>
      <c r="L230" s="7"/>
    </row>
    <row r="231" spans="1:15">
      <c r="A231">
        <v>2015</v>
      </c>
      <c r="B231" s="10">
        <v>332700</v>
      </c>
      <c r="C231" s="10" t="s">
        <v>229</v>
      </c>
      <c r="D231" s="11">
        <v>886104.62</v>
      </c>
      <c r="E231" s="6"/>
      <c r="F231" s="7"/>
      <c r="G231" s="7"/>
      <c r="H231" s="7"/>
      <c r="I231" s="7"/>
      <c r="J231" s="7"/>
      <c r="K231" s="7"/>
      <c r="L231" s="7"/>
    </row>
    <row r="232" spans="1:15">
      <c r="A232">
        <v>2015</v>
      </c>
      <c r="B232" s="10">
        <v>332800</v>
      </c>
      <c r="C232" s="10" t="s">
        <v>230</v>
      </c>
      <c r="D232" s="11">
        <v>93459.28</v>
      </c>
      <c r="E232" s="6"/>
      <c r="F232" s="7"/>
      <c r="G232" s="7"/>
      <c r="H232" s="7"/>
      <c r="I232" s="7"/>
      <c r="J232" s="7"/>
      <c r="K232" s="7"/>
      <c r="L232" s="7"/>
    </row>
    <row r="233" spans="1:15">
      <c r="A233">
        <v>2015</v>
      </c>
      <c r="B233" s="10">
        <v>332900</v>
      </c>
      <c r="C233" s="10" t="s">
        <v>231</v>
      </c>
      <c r="D233" s="11">
        <v>822859.76</v>
      </c>
      <c r="E233" s="6"/>
      <c r="F233" s="7"/>
      <c r="G233" s="7"/>
      <c r="H233" s="7"/>
      <c r="I233" s="7"/>
      <c r="J233" s="5"/>
      <c r="K233" s="8"/>
      <c r="L233" s="8"/>
      <c r="M233" s="3"/>
      <c r="N233" s="2"/>
      <c r="O233" s="2"/>
    </row>
    <row r="234" spans="1:15">
      <c r="A234">
        <v>2015</v>
      </c>
      <c r="B234" s="10">
        <v>333000</v>
      </c>
      <c r="C234" s="10" t="s">
        <v>232</v>
      </c>
      <c r="D234" s="11">
        <v>107542.35</v>
      </c>
      <c r="E234" s="6"/>
      <c r="F234" s="7"/>
      <c r="G234" s="7"/>
      <c r="H234" s="7"/>
      <c r="I234" s="7"/>
      <c r="J234" s="7"/>
      <c r="K234" s="8"/>
      <c r="L234" s="8"/>
      <c r="M234" s="3"/>
      <c r="N234" s="2"/>
      <c r="O234" s="2"/>
    </row>
    <row r="235" spans="1:15">
      <c r="A235">
        <v>2015</v>
      </c>
      <c r="B235" s="10">
        <v>333300</v>
      </c>
      <c r="C235" s="10" t="s">
        <v>233</v>
      </c>
      <c r="D235" s="11">
        <v>546501.85</v>
      </c>
      <c r="E235" s="6"/>
      <c r="F235" s="7"/>
      <c r="G235" s="7"/>
      <c r="H235" s="7"/>
      <c r="I235" s="7"/>
      <c r="J235" s="7"/>
      <c r="K235" s="8"/>
      <c r="L235" s="8"/>
      <c r="M235" s="3"/>
      <c r="N235" s="2"/>
      <c r="O235" s="2"/>
    </row>
    <row r="236" spans="1:15">
      <c r="A236">
        <v>2015</v>
      </c>
      <c r="B236" s="10">
        <v>333400</v>
      </c>
      <c r="C236" s="10" t="s">
        <v>234</v>
      </c>
      <c r="D236" s="11">
        <v>494868.89</v>
      </c>
      <c r="E236" s="6"/>
      <c r="F236" s="7"/>
      <c r="G236" s="7"/>
      <c r="H236" s="7"/>
      <c r="I236" s="7"/>
      <c r="J236" s="7"/>
      <c r="K236" s="8"/>
      <c r="L236" s="8"/>
      <c r="M236" s="4"/>
      <c r="N236" s="2"/>
      <c r="O236" s="2"/>
    </row>
    <row r="237" spans="1:15">
      <c r="A237">
        <v>2015</v>
      </c>
      <c r="B237" s="10">
        <v>333600</v>
      </c>
      <c r="C237" s="10" t="s">
        <v>235</v>
      </c>
      <c r="D237" s="11">
        <v>141959.71</v>
      </c>
      <c r="E237" s="6"/>
      <c r="F237" s="7"/>
      <c r="G237" s="7"/>
      <c r="H237" s="7"/>
      <c r="I237" s="7"/>
      <c r="J237" s="7"/>
      <c r="K237" s="8"/>
      <c r="L237" s="8"/>
      <c r="M237" s="3"/>
      <c r="N237" s="2"/>
      <c r="O237" s="2"/>
    </row>
    <row r="238" spans="1:15">
      <c r="A238">
        <v>2015</v>
      </c>
      <c r="B238" s="10">
        <v>333700</v>
      </c>
      <c r="C238" s="10" t="s">
        <v>236</v>
      </c>
      <c r="D238" s="11">
        <v>56307.45</v>
      </c>
      <c r="E238" s="6"/>
      <c r="F238" s="7"/>
      <c r="G238" s="7"/>
      <c r="H238" s="7"/>
      <c r="I238" s="7"/>
      <c r="J238" s="7"/>
      <c r="K238" s="8"/>
      <c r="L238" s="8"/>
      <c r="M238" s="3"/>
      <c r="N238" s="2"/>
      <c r="O238" s="2"/>
    </row>
    <row r="239" spans="1:15">
      <c r="A239">
        <v>2015</v>
      </c>
      <c r="B239" s="10">
        <v>333810</v>
      </c>
      <c r="C239" s="10" t="s">
        <v>237</v>
      </c>
      <c r="D239" s="11">
        <v>130561.42</v>
      </c>
      <c r="E239" s="6"/>
      <c r="F239" s="7"/>
      <c r="G239" s="7"/>
      <c r="H239" s="7"/>
      <c r="I239" s="7"/>
      <c r="J239" s="5"/>
      <c r="K239" s="8"/>
      <c r="L239" s="8"/>
      <c r="M239" s="3"/>
      <c r="N239" s="2"/>
      <c r="O239" s="2"/>
    </row>
    <row r="240" spans="1:15">
      <c r="A240">
        <v>2015</v>
      </c>
      <c r="B240" s="10">
        <v>333900</v>
      </c>
      <c r="C240" s="10" t="s">
        <v>238</v>
      </c>
      <c r="D240" s="11">
        <v>99278.56</v>
      </c>
      <c r="E240" s="6"/>
      <c r="F240" s="7"/>
      <c r="G240" s="7"/>
      <c r="H240" s="7"/>
      <c r="I240" s="7"/>
      <c r="J240" s="7"/>
      <c r="K240" s="8"/>
      <c r="L240" s="8"/>
      <c r="M240" s="3"/>
      <c r="N240" s="2"/>
      <c r="O240" s="2"/>
    </row>
    <row r="241" spans="1:15">
      <c r="A241">
        <v>2015</v>
      </c>
      <c r="B241" s="10">
        <v>334100</v>
      </c>
      <c r="C241" s="10" t="s">
        <v>239</v>
      </c>
      <c r="D241" s="11">
        <v>598961.42000000004</v>
      </c>
      <c r="E241" s="6"/>
      <c r="F241" s="7"/>
      <c r="G241" s="7"/>
      <c r="H241" s="7"/>
      <c r="I241" s="7"/>
      <c r="J241" s="7"/>
      <c r="K241" s="8"/>
      <c r="L241" s="8"/>
      <c r="M241" s="4"/>
      <c r="N241" s="2"/>
      <c r="O241" s="2"/>
    </row>
    <row r="242" spans="1:15">
      <c r="A242">
        <v>2015</v>
      </c>
      <c r="B242" s="10">
        <v>334400</v>
      </c>
      <c r="C242" s="10" t="s">
        <v>240</v>
      </c>
      <c r="D242" s="11">
        <v>77705.22</v>
      </c>
      <c r="E242" s="6"/>
      <c r="F242" s="7"/>
      <c r="G242" s="7"/>
      <c r="H242" s="7"/>
      <c r="I242" s="7"/>
      <c r="J242" s="5"/>
      <c r="K242" s="8"/>
      <c r="L242" s="8"/>
      <c r="M242" s="3"/>
      <c r="N242" s="2"/>
      <c r="O242" s="2"/>
    </row>
    <row r="243" spans="1:15">
      <c r="A243">
        <v>2015</v>
      </c>
      <c r="B243" s="10">
        <v>334600</v>
      </c>
      <c r="C243" s="10" t="s">
        <v>241</v>
      </c>
      <c r="D243" s="11">
        <v>81515.199999999997</v>
      </c>
      <c r="E243" s="6"/>
      <c r="F243" s="7"/>
      <c r="G243" s="7"/>
      <c r="H243" s="7"/>
      <c r="I243" s="7"/>
      <c r="J243" s="7"/>
      <c r="K243" s="8"/>
      <c r="L243" s="8"/>
      <c r="M243" s="3"/>
      <c r="N243" s="2"/>
      <c r="O243" s="2"/>
    </row>
    <row r="244" spans="1:15">
      <c r="A244">
        <v>2015</v>
      </c>
      <c r="B244" s="10">
        <v>334700</v>
      </c>
      <c r="C244" s="10" t="s">
        <v>242</v>
      </c>
      <c r="D244" s="11">
        <v>212311.93</v>
      </c>
      <c r="E244" s="6"/>
      <c r="F244" s="7"/>
      <c r="G244" s="7"/>
      <c r="H244" s="7"/>
      <c r="I244" s="7"/>
      <c r="J244" s="5"/>
      <c r="K244" s="8"/>
      <c r="L244" s="8"/>
      <c r="M244" s="3"/>
      <c r="N244" s="2"/>
      <c r="O244" s="2"/>
    </row>
    <row r="245" spans="1:15">
      <c r="A245">
        <v>2015</v>
      </c>
      <c r="B245" s="10">
        <v>334900</v>
      </c>
      <c r="C245" s="10" t="s">
        <v>243</v>
      </c>
      <c r="D245" s="11">
        <v>113499.03</v>
      </c>
      <c r="E245" s="6"/>
      <c r="F245" s="7"/>
      <c r="G245" s="7"/>
      <c r="H245" s="7"/>
      <c r="I245" s="7"/>
      <c r="J245" s="7"/>
      <c r="K245" s="8"/>
      <c r="L245" s="8"/>
      <c r="M245" s="3"/>
      <c r="N245" s="2"/>
      <c r="O245" s="2"/>
    </row>
    <row r="246" spans="1:15">
      <c r="A246">
        <v>2015</v>
      </c>
      <c r="B246" s="10">
        <v>335000</v>
      </c>
      <c r="C246" s="10" t="s">
        <v>244</v>
      </c>
      <c r="D246" s="11">
        <v>89039.32</v>
      </c>
      <c r="E246" s="6"/>
      <c r="F246" s="7"/>
      <c r="G246" s="7"/>
      <c r="H246" s="7"/>
      <c r="I246" s="7"/>
      <c r="J246" s="7"/>
      <c r="K246" s="8"/>
      <c r="L246" s="8"/>
      <c r="M246" s="4"/>
      <c r="N246" s="2"/>
      <c r="O246" s="2"/>
    </row>
    <row r="247" spans="1:15">
      <c r="A247">
        <v>2015</v>
      </c>
      <c r="B247" s="10">
        <v>335100</v>
      </c>
      <c r="C247" s="10" t="s">
        <v>245</v>
      </c>
      <c r="D247" s="11">
        <v>27774.09</v>
      </c>
      <c r="E247" s="6"/>
      <c r="F247" s="7"/>
      <c r="G247" s="7"/>
      <c r="H247" s="7"/>
      <c r="I247" s="7"/>
      <c r="J247" s="5"/>
      <c r="K247" s="8"/>
      <c r="L247" s="8"/>
      <c r="M247" s="3"/>
      <c r="N247" s="2"/>
      <c r="O247" s="2"/>
    </row>
    <row r="248" spans="1:15">
      <c r="A248">
        <v>2015</v>
      </c>
      <c r="B248" s="10">
        <v>335200</v>
      </c>
      <c r="C248" s="10" t="s">
        <v>246</v>
      </c>
      <c r="D248" s="11">
        <v>250028.77</v>
      </c>
      <c r="E248" s="6"/>
      <c r="F248" s="7"/>
      <c r="G248" s="7"/>
      <c r="H248" s="7"/>
      <c r="I248" s="7"/>
      <c r="J248" s="5"/>
      <c r="K248" s="8"/>
      <c r="L248" s="8"/>
      <c r="M248" s="3"/>
      <c r="N248" s="2"/>
      <c r="O248" s="2"/>
    </row>
    <row r="249" spans="1:15">
      <c r="A249">
        <v>2015</v>
      </c>
      <c r="B249" s="10">
        <v>335400</v>
      </c>
      <c r="C249" s="10" t="s">
        <v>247</v>
      </c>
      <c r="D249" s="11">
        <v>103491.18</v>
      </c>
      <c r="E249" s="6"/>
      <c r="F249" s="7"/>
      <c r="G249" s="7"/>
      <c r="H249" s="7"/>
      <c r="I249" s="7"/>
      <c r="J249" s="7"/>
      <c r="K249" s="8"/>
      <c r="L249" s="8"/>
      <c r="M249" s="3"/>
      <c r="N249" s="2"/>
      <c r="O249" s="2"/>
    </row>
    <row r="250" spans="1:15">
      <c r="A250">
        <v>2015</v>
      </c>
      <c r="B250" s="10">
        <v>335500</v>
      </c>
      <c r="C250" s="10" t="s">
        <v>248</v>
      </c>
      <c r="D250" s="11">
        <v>789985.53</v>
      </c>
      <c r="E250" s="6"/>
      <c r="F250" s="7"/>
      <c r="G250" s="7"/>
      <c r="H250" s="7"/>
      <c r="I250" s="7"/>
      <c r="J250" s="7"/>
      <c r="K250" s="8"/>
      <c r="L250" s="8"/>
      <c r="M250" s="3"/>
      <c r="N250" s="2"/>
      <c r="O250" s="2"/>
    </row>
    <row r="251" spans="1:15">
      <c r="A251">
        <v>2015</v>
      </c>
      <c r="B251" s="10">
        <v>335600</v>
      </c>
      <c r="C251" s="10" t="s">
        <v>249</v>
      </c>
      <c r="D251" s="11">
        <v>89005.85</v>
      </c>
      <c r="E251" s="6"/>
      <c r="F251" s="7"/>
      <c r="G251" s="7"/>
      <c r="H251" s="7"/>
      <c r="I251" s="7"/>
      <c r="J251" s="5"/>
      <c r="K251" s="8"/>
      <c r="L251" s="8"/>
      <c r="M251" s="4"/>
      <c r="N251" s="2"/>
      <c r="O251" s="2"/>
    </row>
    <row r="252" spans="1:15">
      <c r="A252">
        <v>2015</v>
      </c>
      <c r="B252" s="10">
        <v>335700</v>
      </c>
      <c r="C252" s="10" t="s">
        <v>250</v>
      </c>
      <c r="E252" s="6"/>
      <c r="F252" s="5"/>
      <c r="G252" s="5"/>
      <c r="H252" s="5"/>
      <c r="I252" s="5"/>
      <c r="J252" s="7"/>
      <c r="K252" s="8"/>
      <c r="L252" s="8"/>
      <c r="M252" s="3"/>
      <c r="N252" s="1"/>
      <c r="O252" s="1"/>
    </row>
    <row r="253" spans="1:15">
      <c r="A253">
        <v>2015</v>
      </c>
      <c r="B253" s="10">
        <v>335800</v>
      </c>
      <c r="C253" s="10" t="s">
        <v>251</v>
      </c>
      <c r="D253" s="11">
        <v>92814.39</v>
      </c>
      <c r="E253" s="6"/>
      <c r="F253" s="7"/>
      <c r="G253" s="7"/>
      <c r="H253" s="7"/>
      <c r="I253" s="7"/>
      <c r="J253" s="5"/>
      <c r="K253" s="8"/>
      <c r="L253" s="8"/>
      <c r="M253" s="3"/>
      <c r="N253" s="2"/>
      <c r="O253" s="2"/>
    </row>
    <row r="254" spans="1:15">
      <c r="A254">
        <v>2015</v>
      </c>
      <c r="B254" s="10">
        <v>335900</v>
      </c>
      <c r="C254" s="10" t="s">
        <v>252</v>
      </c>
      <c r="D254" s="11">
        <v>222935.06</v>
      </c>
      <c r="E254" s="6"/>
      <c r="F254" s="7"/>
      <c r="G254" s="7"/>
      <c r="H254" s="7"/>
      <c r="I254" s="7"/>
      <c r="J254" s="7"/>
      <c r="K254" s="8"/>
      <c r="L254" s="8"/>
      <c r="M254" s="3"/>
      <c r="N254" s="2"/>
      <c r="O254" s="2"/>
    </row>
    <row r="255" spans="1:15">
      <c r="A255">
        <v>2015</v>
      </c>
      <c r="B255" s="10">
        <v>336200</v>
      </c>
      <c r="C255" s="10" t="s">
        <v>253</v>
      </c>
      <c r="D255" s="11">
        <v>198789.42</v>
      </c>
      <c r="E255" s="6"/>
      <c r="F255" s="7"/>
      <c r="G255" s="7"/>
      <c r="H255" s="7"/>
      <c r="I255" s="7"/>
      <c r="J255" s="5"/>
      <c r="K255" s="8"/>
      <c r="L255" s="8"/>
      <c r="M255" s="3"/>
      <c r="N255" s="2"/>
      <c r="O255" s="2"/>
    </row>
    <row r="256" spans="1:15">
      <c r="A256">
        <v>2015</v>
      </c>
      <c r="B256" s="10">
        <v>336310</v>
      </c>
      <c r="C256" s="10" t="s">
        <v>254</v>
      </c>
      <c r="D256" s="11">
        <v>247716.3</v>
      </c>
      <c r="E256" s="6"/>
      <c r="F256" s="7"/>
      <c r="G256" s="7"/>
      <c r="H256" s="7"/>
      <c r="I256" s="7"/>
      <c r="J256" s="5"/>
      <c r="K256" s="8"/>
      <c r="L256" s="8"/>
      <c r="M256" s="4"/>
      <c r="N256" s="2"/>
      <c r="O256" s="2"/>
    </row>
    <row r="257" spans="1:15">
      <c r="A257">
        <v>2015</v>
      </c>
      <c r="B257" s="10">
        <v>336410</v>
      </c>
      <c r="C257" s="10" t="s">
        <v>255</v>
      </c>
      <c r="D257" s="11">
        <v>24491.22</v>
      </c>
      <c r="E257" s="6"/>
      <c r="F257" s="7"/>
      <c r="G257" s="7"/>
      <c r="H257" s="7"/>
      <c r="I257" s="7"/>
      <c r="J257" s="7"/>
      <c r="K257" s="8"/>
      <c r="L257" s="8"/>
      <c r="M257" s="3"/>
      <c r="N257" s="2"/>
      <c r="O257" s="2"/>
    </row>
    <row r="258" spans="1:15">
      <c r="A258">
        <v>2015</v>
      </c>
      <c r="B258" s="10">
        <v>336500</v>
      </c>
      <c r="C258" s="10" t="s">
        <v>256</v>
      </c>
      <c r="D258" s="11">
        <v>47596.31</v>
      </c>
      <c r="E258" s="6"/>
      <c r="F258" s="7"/>
      <c r="G258" s="7"/>
      <c r="H258" s="7"/>
      <c r="I258" s="7"/>
      <c r="J258" s="7"/>
      <c r="K258" s="8"/>
      <c r="L258" s="8"/>
      <c r="M258" s="3"/>
      <c r="N258" s="2"/>
      <c r="O258" s="2"/>
    </row>
    <row r="259" spans="1:15">
      <c r="A259">
        <v>2015</v>
      </c>
      <c r="B259" s="10">
        <v>336600</v>
      </c>
      <c r="C259" s="10" t="s">
        <v>257</v>
      </c>
      <c r="D259" s="11">
        <v>168835.43</v>
      </c>
      <c r="E259" s="6"/>
      <c r="F259" s="7"/>
      <c r="G259" s="7"/>
      <c r="H259" s="7"/>
      <c r="I259" s="7"/>
      <c r="J259" s="5"/>
      <c r="K259" s="8"/>
      <c r="L259" s="8"/>
      <c r="M259" s="3"/>
      <c r="N259" s="2"/>
      <c r="O259" s="2"/>
    </row>
    <row r="260" spans="1:15">
      <c r="A260">
        <v>2015</v>
      </c>
      <c r="B260" s="10">
        <v>336700</v>
      </c>
      <c r="C260" s="10" t="s">
        <v>258</v>
      </c>
      <c r="D260" s="11">
        <v>639846.22</v>
      </c>
      <c r="E260" s="6"/>
      <c r="F260" s="7"/>
      <c r="G260" s="7"/>
      <c r="H260" s="7"/>
      <c r="I260" s="7"/>
      <c r="J260" s="7"/>
      <c r="K260" s="8"/>
      <c r="L260" s="8"/>
      <c r="M260" s="3"/>
      <c r="N260" s="2"/>
      <c r="O260" s="2"/>
    </row>
    <row r="261" spans="1:15">
      <c r="A261">
        <v>2015</v>
      </c>
      <c r="B261" s="10">
        <v>336800</v>
      </c>
      <c r="C261" s="10" t="s">
        <v>259</v>
      </c>
      <c r="D261" s="11">
        <v>227603.07</v>
      </c>
      <c r="E261" s="6"/>
      <c r="F261" s="7"/>
      <c r="G261" s="7"/>
      <c r="H261" s="7"/>
      <c r="I261" s="7"/>
      <c r="J261" s="7"/>
      <c r="K261" s="8"/>
      <c r="L261" s="8"/>
      <c r="M261" s="4"/>
      <c r="N261" s="2"/>
      <c r="O261" s="2"/>
    </row>
    <row r="262" spans="1:15">
      <c r="A262">
        <v>2015</v>
      </c>
      <c r="B262" s="10">
        <v>336900</v>
      </c>
      <c r="C262" s="10" t="s">
        <v>260</v>
      </c>
      <c r="D262" s="11">
        <v>140959.89000000001</v>
      </c>
      <c r="E262" s="6"/>
      <c r="F262" s="7"/>
      <c r="G262" s="7"/>
      <c r="H262" s="7"/>
      <c r="I262" s="7"/>
      <c r="J262" s="5"/>
      <c r="K262" s="8"/>
      <c r="L262" s="8"/>
      <c r="M262" s="3"/>
      <c r="N262" s="2"/>
      <c r="O262" s="2"/>
    </row>
    <row r="263" spans="1:15">
      <c r="A263">
        <v>2015</v>
      </c>
      <c r="B263" s="10">
        <v>337100</v>
      </c>
      <c r="C263" s="10" t="s">
        <v>261</v>
      </c>
      <c r="D263" s="11">
        <v>259753.46</v>
      </c>
      <c r="E263" s="6"/>
      <c r="F263" s="7"/>
      <c r="G263" s="7"/>
      <c r="H263" s="7"/>
      <c r="I263" s="7"/>
      <c r="J263" s="7"/>
      <c r="K263" s="8"/>
      <c r="L263" s="8"/>
      <c r="M263" s="3"/>
      <c r="N263" s="2"/>
      <c r="O263" s="2"/>
    </row>
    <row r="264" spans="1:15">
      <c r="A264">
        <v>2015</v>
      </c>
      <c r="B264" s="10">
        <v>337200</v>
      </c>
      <c r="C264" s="10" t="s">
        <v>262</v>
      </c>
      <c r="D264" s="11">
        <v>243266.01</v>
      </c>
      <c r="E264" s="6"/>
      <c r="F264" s="7"/>
      <c r="G264" s="7"/>
      <c r="H264" s="7"/>
      <c r="I264" s="7"/>
      <c r="J264" s="5"/>
      <c r="K264" s="8"/>
      <c r="L264" s="8"/>
      <c r="M264" s="3"/>
      <c r="N264" s="2"/>
      <c r="O264" s="2"/>
    </row>
    <row r="265" spans="1:15">
      <c r="A265">
        <v>2015</v>
      </c>
      <c r="B265" s="10">
        <v>337300</v>
      </c>
      <c r="C265" s="10" t="s">
        <v>263</v>
      </c>
      <c r="D265" s="11">
        <v>635415.41</v>
      </c>
      <c r="E265" s="6"/>
      <c r="F265" s="7"/>
      <c r="G265" s="7"/>
      <c r="H265" s="7"/>
      <c r="I265" s="7"/>
      <c r="J265" s="7"/>
      <c r="K265" s="8"/>
      <c r="L265" s="8"/>
      <c r="M265" s="3"/>
      <c r="N265" s="2"/>
      <c r="O265" s="2"/>
    </row>
    <row r="266" spans="1:15">
      <c r="A266">
        <v>2015</v>
      </c>
      <c r="B266" s="10">
        <v>337400</v>
      </c>
      <c r="C266" s="10" t="s">
        <v>264</v>
      </c>
      <c r="D266" s="11">
        <v>367544.06</v>
      </c>
      <c r="E266" s="6"/>
      <c r="F266" s="7"/>
      <c r="G266" s="7"/>
      <c r="H266" s="7"/>
      <c r="I266" s="7"/>
      <c r="J266" s="7"/>
      <c r="K266" s="8"/>
      <c r="L266" s="8"/>
      <c r="M266" s="4"/>
      <c r="N266" s="2"/>
      <c r="O266" s="2"/>
    </row>
    <row r="267" spans="1:15">
      <c r="A267">
        <v>2015</v>
      </c>
      <c r="B267" s="10">
        <v>337500</v>
      </c>
      <c r="C267" s="10" t="s">
        <v>265</v>
      </c>
      <c r="D267" s="11">
        <v>271215.40999999997</v>
      </c>
      <c r="E267" s="6"/>
      <c r="F267" s="7"/>
      <c r="G267" s="7"/>
      <c r="H267" s="7"/>
      <c r="I267" s="7"/>
      <c r="J267" s="5"/>
      <c r="K267" s="8"/>
      <c r="L267" s="8"/>
      <c r="M267" s="3"/>
      <c r="N267" s="2"/>
      <c r="O267" s="2"/>
    </row>
    <row r="268" spans="1:15">
      <c r="A268">
        <v>2015</v>
      </c>
      <c r="B268" s="10">
        <v>337600</v>
      </c>
      <c r="C268" s="10" t="s">
        <v>266</v>
      </c>
      <c r="D268" s="11">
        <v>614906.47</v>
      </c>
      <c r="E268" s="6"/>
      <c r="F268" s="7"/>
      <c r="G268" s="7"/>
      <c r="H268" s="7"/>
      <c r="I268" s="7"/>
      <c r="J268" s="7"/>
      <c r="K268" s="8"/>
      <c r="L268" s="8"/>
      <c r="M268" s="3"/>
      <c r="N268" s="2"/>
      <c r="O268" s="2"/>
    </row>
    <row r="269" spans="1:15">
      <c r="A269">
        <v>2015</v>
      </c>
      <c r="B269" s="10">
        <v>337610</v>
      </c>
      <c r="C269" s="10" t="s">
        <v>267</v>
      </c>
      <c r="D269" s="11">
        <v>187113.99</v>
      </c>
      <c r="E269" s="6"/>
      <c r="F269" s="7"/>
      <c r="G269" s="7"/>
      <c r="H269" s="7"/>
      <c r="I269" s="7"/>
      <c r="J269" s="7"/>
      <c r="K269" s="8"/>
      <c r="L269" s="8"/>
      <c r="M269" s="3"/>
      <c r="N269" s="2"/>
      <c r="O269" s="2"/>
    </row>
    <row r="270" spans="1:15">
      <c r="A270">
        <v>2015</v>
      </c>
      <c r="B270" s="10">
        <v>337700</v>
      </c>
      <c r="C270" s="10" t="s">
        <v>268</v>
      </c>
      <c r="D270" s="11">
        <v>270953.28999999998</v>
      </c>
      <c r="E270" s="6"/>
      <c r="F270" s="7"/>
      <c r="G270" s="7"/>
      <c r="H270" s="7"/>
      <c r="I270" s="7"/>
      <c r="J270" s="7"/>
      <c r="K270" s="8"/>
      <c r="L270" s="8"/>
      <c r="M270" s="3"/>
      <c r="N270" s="2"/>
      <c r="O270" s="2"/>
    </row>
    <row r="271" spans="1:15">
      <c r="A271">
        <v>2015</v>
      </c>
      <c r="B271" s="10">
        <v>337800</v>
      </c>
      <c r="C271" s="10" t="s">
        <v>269</v>
      </c>
      <c r="D271" s="11">
        <v>43482.26</v>
      </c>
      <c r="E271" s="6"/>
      <c r="F271" s="7"/>
      <c r="G271" s="7"/>
      <c r="H271" s="7"/>
      <c r="I271" s="7"/>
      <c r="J271" s="7"/>
      <c r="K271" s="8"/>
      <c r="L271" s="8"/>
      <c r="M271" s="4"/>
      <c r="N271" s="2"/>
      <c r="O271" s="2"/>
    </row>
    <row r="272" spans="1:15">
      <c r="A272">
        <v>2015</v>
      </c>
      <c r="B272" s="10">
        <v>337900</v>
      </c>
      <c r="C272" s="10" t="s">
        <v>270</v>
      </c>
      <c r="D272" s="11">
        <v>383147.64</v>
      </c>
      <c r="E272" s="6"/>
      <c r="F272" s="7"/>
      <c r="G272" s="7"/>
      <c r="H272" s="7"/>
      <c r="I272" s="7"/>
      <c r="J272" s="5"/>
      <c r="K272" s="8"/>
      <c r="L272" s="8"/>
      <c r="M272" s="3"/>
      <c r="N272" s="2"/>
      <c r="O272" s="2"/>
    </row>
    <row r="273" spans="1:15">
      <c r="A273">
        <v>2015</v>
      </c>
      <c r="B273" s="10">
        <v>338000</v>
      </c>
      <c r="C273" s="10" t="s">
        <v>271</v>
      </c>
      <c r="D273" s="11">
        <v>367266.13</v>
      </c>
      <c r="E273" s="6"/>
      <c r="F273" s="7"/>
      <c r="G273" s="7"/>
      <c r="H273" s="7"/>
      <c r="I273" s="7"/>
      <c r="J273" s="7"/>
      <c r="K273" s="8"/>
      <c r="L273" s="8"/>
      <c r="M273" s="3"/>
      <c r="N273" s="2"/>
      <c r="O273" s="2"/>
    </row>
    <row r="274" spans="1:15">
      <c r="A274">
        <v>2015</v>
      </c>
      <c r="B274" s="10">
        <v>338100</v>
      </c>
      <c r="C274" s="10" t="s">
        <v>272</v>
      </c>
      <c r="D274" s="11">
        <v>534604.43999999994</v>
      </c>
      <c r="E274" s="6"/>
      <c r="F274" s="7"/>
      <c r="G274" s="7"/>
      <c r="H274" s="7"/>
      <c r="I274" s="7"/>
      <c r="J274" s="7"/>
      <c r="K274" s="8"/>
      <c r="L274" s="8"/>
      <c r="M274" s="3"/>
      <c r="N274" s="2"/>
      <c r="O274" s="2"/>
    </row>
    <row r="275" spans="1:15">
      <c r="A275">
        <v>2015</v>
      </c>
      <c r="B275" s="10">
        <v>338300</v>
      </c>
      <c r="C275" s="10" t="s">
        <v>273</v>
      </c>
      <c r="D275" s="11">
        <v>71630.759999999995</v>
      </c>
      <c r="E275" s="6"/>
      <c r="F275" s="7"/>
      <c r="G275" s="7"/>
      <c r="H275" s="7"/>
      <c r="I275" s="7"/>
      <c r="J275" s="7"/>
      <c r="K275" s="8"/>
      <c r="L275" s="8"/>
      <c r="M275" s="3"/>
      <c r="N275" s="2"/>
      <c r="O275" s="2"/>
    </row>
    <row r="276" spans="1:15">
      <c r="A276">
        <v>2015</v>
      </c>
      <c r="B276" s="10">
        <v>338400</v>
      </c>
      <c r="C276" s="10" t="s">
        <v>274</v>
      </c>
      <c r="D276" s="11">
        <v>154264.21</v>
      </c>
      <c r="E276" s="6"/>
      <c r="F276" s="7"/>
      <c r="G276" s="7"/>
      <c r="H276" s="7"/>
      <c r="I276" s="7"/>
      <c r="J276" s="7"/>
      <c r="K276" s="8"/>
      <c r="L276" s="8"/>
      <c r="M276" s="4"/>
      <c r="N276" s="2"/>
      <c r="O276" s="2"/>
    </row>
    <row r="277" spans="1:15">
      <c r="A277">
        <v>2015</v>
      </c>
      <c r="B277" s="10">
        <v>338500</v>
      </c>
      <c r="C277" s="10" t="s">
        <v>275</v>
      </c>
      <c r="D277" s="11">
        <v>76430.350000000006</v>
      </c>
      <c r="E277" s="6"/>
      <c r="F277" s="7"/>
      <c r="G277" s="7"/>
      <c r="H277" s="7"/>
      <c r="I277" s="7"/>
      <c r="J277" s="5"/>
      <c r="K277" s="8"/>
      <c r="L277" s="8"/>
      <c r="M277" s="3"/>
      <c r="N277" s="2"/>
      <c r="O277" s="2"/>
    </row>
    <row r="278" spans="1:15">
      <c r="A278">
        <v>2015</v>
      </c>
      <c r="B278" s="10">
        <v>338600</v>
      </c>
      <c r="C278" s="10" t="s">
        <v>276</v>
      </c>
      <c r="D278" s="11">
        <v>197432.06</v>
      </c>
      <c r="E278" s="6"/>
      <c r="F278" s="7"/>
      <c r="G278" s="7"/>
      <c r="H278" s="7"/>
      <c r="I278" s="7"/>
      <c r="J278" s="7"/>
      <c r="K278" s="8"/>
      <c r="L278" s="8"/>
      <c r="M278" s="3"/>
      <c r="N278" s="2"/>
      <c r="O278" s="2"/>
    </row>
    <row r="279" spans="1:15">
      <c r="A279">
        <v>2015</v>
      </c>
      <c r="B279" s="10">
        <v>338700</v>
      </c>
      <c r="C279" s="10" t="s">
        <v>277</v>
      </c>
      <c r="D279" s="11">
        <v>76490.09</v>
      </c>
      <c r="E279" s="6"/>
      <c r="F279" s="7"/>
      <c r="G279" s="7"/>
      <c r="H279" s="7"/>
      <c r="I279" s="7"/>
      <c r="J279" s="5"/>
      <c r="K279" s="8"/>
      <c r="L279" s="8"/>
      <c r="M279" s="3"/>
      <c r="N279" s="2"/>
      <c r="O279" s="2"/>
    </row>
    <row r="280" spans="1:15">
      <c r="A280">
        <v>2015</v>
      </c>
      <c r="B280" s="10">
        <v>338800</v>
      </c>
      <c r="C280" s="10" t="s">
        <v>278</v>
      </c>
      <c r="D280" s="11">
        <v>160383.65</v>
      </c>
      <c r="E280" s="6"/>
      <c r="F280" s="7"/>
      <c r="G280" s="7"/>
      <c r="H280" s="7"/>
      <c r="I280" s="7"/>
      <c r="J280" s="7"/>
      <c r="K280" s="8"/>
      <c r="L280" s="8"/>
      <c r="M280" s="3"/>
      <c r="N280" s="2"/>
      <c r="O280" s="2"/>
    </row>
    <row r="281" spans="1:15">
      <c r="A281">
        <v>2015</v>
      </c>
      <c r="B281" s="10">
        <v>338900</v>
      </c>
      <c r="C281" s="10" t="s">
        <v>279</v>
      </c>
      <c r="D281" s="11">
        <v>322432.39</v>
      </c>
      <c r="E281" s="6"/>
      <c r="F281" s="7"/>
      <c r="G281" s="7"/>
      <c r="H281" s="7"/>
      <c r="I281" s="7"/>
      <c r="J281" s="7"/>
      <c r="K281" s="8"/>
      <c r="L281" s="8"/>
      <c r="M281" s="4"/>
      <c r="N281" s="2"/>
      <c r="O281" s="2"/>
    </row>
    <row r="282" spans="1:15">
      <c r="A282">
        <v>2015</v>
      </c>
      <c r="B282" s="10">
        <v>339000</v>
      </c>
      <c r="C282" s="10" t="s">
        <v>280</v>
      </c>
      <c r="D282" s="11">
        <v>614462.12</v>
      </c>
      <c r="E282" s="6"/>
      <c r="F282" s="7"/>
      <c r="G282" s="7"/>
      <c r="H282" s="7"/>
      <c r="I282" s="7"/>
      <c r="J282" s="5"/>
      <c r="K282" s="8"/>
      <c r="L282" s="8"/>
      <c r="M282" s="3"/>
      <c r="N282" s="2"/>
      <c r="O282" s="2"/>
    </row>
    <row r="283" spans="1:15">
      <c r="A283">
        <v>2015</v>
      </c>
      <c r="B283" s="10">
        <v>339100</v>
      </c>
      <c r="C283" s="10" t="s">
        <v>281</v>
      </c>
      <c r="D283" s="11">
        <v>137840.43</v>
      </c>
      <c r="E283" s="6"/>
      <c r="F283" s="7"/>
      <c r="G283" s="7"/>
      <c r="H283" s="7"/>
      <c r="I283" s="7"/>
      <c r="J283" s="7"/>
      <c r="K283" s="8"/>
      <c r="L283" s="8"/>
      <c r="M283" s="3"/>
      <c r="N283" s="2"/>
      <c r="O283" s="2"/>
    </row>
    <row r="284" spans="1:15">
      <c r="A284">
        <v>2015</v>
      </c>
      <c r="B284" s="10">
        <v>339210</v>
      </c>
      <c r="C284" s="10" t="s">
        <v>282</v>
      </c>
      <c r="D284" s="11">
        <v>122412.94</v>
      </c>
      <c r="E284" s="6"/>
      <c r="F284" s="7"/>
      <c r="G284" s="7"/>
      <c r="H284" s="7"/>
      <c r="I284" s="7"/>
      <c r="J284" s="7"/>
      <c r="K284" s="8"/>
      <c r="L284" s="8"/>
      <c r="M284" s="3"/>
      <c r="N284" s="2"/>
      <c r="O284" s="2"/>
    </row>
    <row r="285" spans="1:15">
      <c r="A285">
        <v>2015</v>
      </c>
      <c r="B285" s="10">
        <v>339300</v>
      </c>
      <c r="C285" s="10" t="s">
        <v>283</v>
      </c>
      <c r="D285" s="11">
        <v>169322.52</v>
      </c>
      <c r="E285" s="6"/>
      <c r="F285" s="7"/>
      <c r="G285" s="7"/>
      <c r="H285" s="7"/>
      <c r="I285" s="7"/>
      <c r="J285" s="7"/>
      <c r="K285" s="8"/>
      <c r="L285" s="8"/>
      <c r="M285" s="3"/>
      <c r="N285" s="2"/>
      <c r="O285" s="2"/>
    </row>
    <row r="286" spans="1:15">
      <c r="A286">
        <v>2015</v>
      </c>
      <c r="B286" s="10">
        <v>339400</v>
      </c>
      <c r="C286" s="10" t="s">
        <v>284</v>
      </c>
      <c r="D286" s="11">
        <v>618002.4</v>
      </c>
      <c r="E286" s="6"/>
      <c r="F286" s="7"/>
      <c r="G286" s="7"/>
      <c r="H286" s="7"/>
      <c r="I286" s="7"/>
      <c r="J286" s="7"/>
      <c r="K286" s="8"/>
      <c r="L286" s="8"/>
      <c r="M286" s="4"/>
      <c r="N286" s="2"/>
      <c r="O286" s="2"/>
    </row>
    <row r="287" spans="1:15">
      <c r="A287">
        <v>2015</v>
      </c>
      <c r="B287" s="10">
        <v>339500</v>
      </c>
      <c r="C287" s="10" t="s">
        <v>285</v>
      </c>
      <c r="D287" s="11">
        <v>36920.82</v>
      </c>
      <c r="E287" s="6"/>
      <c r="F287" s="7"/>
      <c r="G287" s="7"/>
      <c r="H287" s="7"/>
      <c r="I287" s="7"/>
      <c r="J287" s="7"/>
      <c r="K287" s="8"/>
      <c r="L287" s="8"/>
      <c r="M287" s="3"/>
      <c r="N287" s="2"/>
      <c r="O287" s="2"/>
    </row>
    <row r="288" spans="1:15">
      <c r="A288">
        <v>2015</v>
      </c>
      <c r="B288" s="10">
        <v>339600</v>
      </c>
      <c r="C288" s="10" t="s">
        <v>286</v>
      </c>
      <c r="D288" s="11">
        <v>300606.21999999997</v>
      </c>
      <c r="E288" s="6"/>
      <c r="F288" s="7"/>
      <c r="G288" s="7"/>
      <c r="H288" s="7"/>
      <c r="I288" s="7"/>
      <c r="J288" s="5"/>
      <c r="K288" s="8"/>
      <c r="L288" s="8"/>
      <c r="M288" s="3"/>
      <c r="N288" s="2"/>
      <c r="O288" s="2"/>
    </row>
    <row r="289" spans="1:15">
      <c r="A289">
        <v>2015</v>
      </c>
      <c r="B289" s="10">
        <v>339700</v>
      </c>
      <c r="C289" s="10" t="s">
        <v>287</v>
      </c>
      <c r="D289" s="11">
        <v>248003.9</v>
      </c>
      <c r="E289" s="6"/>
      <c r="F289" s="7"/>
      <c r="G289" s="7"/>
      <c r="H289" s="7"/>
      <c r="I289" s="7"/>
      <c r="J289" s="7"/>
      <c r="K289" s="8"/>
      <c r="L289" s="8"/>
      <c r="M289" s="3"/>
      <c r="N289" s="2"/>
      <c r="O289" s="2"/>
    </row>
    <row r="290" spans="1:15">
      <c r="A290">
        <v>2015</v>
      </c>
      <c r="B290" s="10">
        <v>339800</v>
      </c>
      <c r="C290" s="10" t="s">
        <v>288</v>
      </c>
      <c r="D290" s="11">
        <v>146012.18</v>
      </c>
      <c r="E290" s="6"/>
      <c r="F290" s="7"/>
      <c r="G290" s="7"/>
      <c r="H290" s="7"/>
      <c r="I290" s="7"/>
      <c r="J290" s="7"/>
      <c r="K290" s="8"/>
      <c r="L290" s="8"/>
      <c r="M290" s="3"/>
      <c r="N290" s="2"/>
      <c r="O290" s="2"/>
    </row>
    <row r="291" spans="1:15">
      <c r="A291">
        <v>2015</v>
      </c>
      <c r="B291" s="10">
        <v>339900</v>
      </c>
      <c r="C291" s="10" t="s">
        <v>289</v>
      </c>
      <c r="D291" s="11">
        <v>154592.6</v>
      </c>
      <c r="E291" s="6"/>
      <c r="F291" s="7"/>
      <c r="G291" s="7"/>
      <c r="H291" s="7"/>
      <c r="I291" s="7"/>
      <c r="J291" s="7"/>
      <c r="K291" s="8"/>
      <c r="L291" s="8"/>
      <c r="M291" s="4"/>
      <c r="N291" s="2"/>
      <c r="O291" s="2"/>
    </row>
    <row r="292" spans="1:15">
      <c r="A292">
        <v>2015</v>
      </c>
      <c r="B292" s="10">
        <v>340000</v>
      </c>
      <c r="C292" s="10" t="s">
        <v>290</v>
      </c>
      <c r="D292" s="11">
        <v>147570.09</v>
      </c>
      <c r="E292" s="6"/>
      <c r="F292" s="7"/>
      <c r="G292" s="7"/>
      <c r="H292" s="7"/>
      <c r="I292" s="7"/>
      <c r="J292" s="7"/>
      <c r="K292" s="8"/>
      <c r="L292" s="8"/>
      <c r="M292" s="3"/>
      <c r="N292" s="2"/>
      <c r="O292" s="2"/>
    </row>
    <row r="293" spans="1:15">
      <c r="A293">
        <v>2015</v>
      </c>
      <c r="B293" s="10">
        <v>340500</v>
      </c>
      <c r="C293" s="10" t="s">
        <v>291</v>
      </c>
      <c r="D293" s="11">
        <v>224534.33</v>
      </c>
      <c r="E293" s="6"/>
      <c r="F293" s="7"/>
      <c r="G293" s="7"/>
      <c r="H293" s="7"/>
      <c r="I293" s="7"/>
      <c r="J293" s="5"/>
      <c r="K293" s="8"/>
      <c r="L293" s="8"/>
      <c r="M293" s="4"/>
      <c r="N293" s="2"/>
      <c r="O293" s="2"/>
    </row>
    <row r="295" spans="1:15">
      <c r="C295" s="12" t="s">
        <v>297</v>
      </c>
      <c r="D295" s="11">
        <f>SUM(D2:D293)</f>
        <v>72908805.00000003</v>
      </c>
    </row>
    <row r="296" spans="1:15">
      <c r="C296" s="12"/>
    </row>
    <row r="297" spans="1:15">
      <c r="C297" s="12" t="s">
        <v>296</v>
      </c>
      <c r="D297" s="11">
        <v>72908805</v>
      </c>
    </row>
    <row r="299" spans="1:15">
      <c r="C299" s="13" t="s">
        <v>295</v>
      </c>
      <c r="D299" s="14">
        <f>D295-D297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9B3E-1AC2-BA49-B2A9-10C480BCE77D}">
  <sheetPr>
    <tabColor rgb="FFFFFF00"/>
  </sheetPr>
  <dimension ref="A1:M302"/>
  <sheetViews>
    <sheetView workbookViewId="0">
      <selection activeCell="A2" sqref="A2:C296"/>
    </sheetView>
  </sheetViews>
  <sheetFormatPr baseColWidth="10" defaultRowHeight="16"/>
  <cols>
    <col min="2" max="2" width="30.6640625" style="10" bestFit="1" customWidth="1"/>
    <col min="3" max="3" width="13.1640625" style="10" bestFit="1" customWidth="1"/>
    <col min="4" max="4" width="12.6640625" style="9" bestFit="1" customWidth="1"/>
    <col min="5" max="6" width="11.5" style="9" bestFit="1" customWidth="1"/>
    <col min="7" max="8" width="11" style="9" bestFit="1" customWidth="1"/>
    <col min="9" max="10" width="11.5" style="9" bestFit="1" customWidth="1"/>
    <col min="11" max="11" width="10.83203125" style="9"/>
    <col min="12" max="13" width="11.5" style="9" bestFit="1" customWidth="1"/>
  </cols>
  <sheetData>
    <row r="1" spans="1:13">
      <c r="A1" t="s">
        <v>356</v>
      </c>
      <c r="B1" s="10" t="s">
        <v>293</v>
      </c>
      <c r="C1" s="10" t="s">
        <v>294</v>
      </c>
    </row>
    <row r="2" spans="1:13">
      <c r="A2">
        <v>2016</v>
      </c>
      <c r="B2" s="10" t="s">
        <v>0</v>
      </c>
      <c r="C2" s="11">
        <v>54922.82</v>
      </c>
      <c r="D2" s="2"/>
      <c r="E2" s="2"/>
      <c r="F2" s="2"/>
      <c r="G2" s="2"/>
      <c r="H2" s="2"/>
      <c r="I2" s="3"/>
      <c r="J2" s="3"/>
      <c r="K2" s="3"/>
      <c r="L2" s="2"/>
      <c r="M2" s="2"/>
    </row>
    <row r="3" spans="1:13">
      <c r="A3">
        <v>2016</v>
      </c>
      <c r="B3" s="10" t="s">
        <v>1</v>
      </c>
      <c r="C3" s="11">
        <v>57014.25</v>
      </c>
      <c r="D3" s="2"/>
      <c r="E3" s="2"/>
      <c r="F3" s="2"/>
      <c r="G3" s="2"/>
      <c r="H3" s="2"/>
      <c r="I3" s="3"/>
      <c r="J3" s="3"/>
      <c r="K3" s="3"/>
      <c r="L3" s="2"/>
      <c r="M3" s="2"/>
    </row>
    <row r="4" spans="1:13">
      <c r="A4">
        <v>2016</v>
      </c>
      <c r="B4" s="10" t="s">
        <v>2</v>
      </c>
      <c r="C4" s="11">
        <v>150487.72</v>
      </c>
      <c r="D4" s="2"/>
      <c r="E4" s="2"/>
      <c r="F4" s="2"/>
      <c r="G4" s="2"/>
      <c r="H4" s="2"/>
      <c r="I4" s="3"/>
      <c r="J4" s="3"/>
      <c r="K4" s="3"/>
      <c r="L4" s="2"/>
      <c r="M4" s="2"/>
    </row>
    <row r="5" spans="1:13">
      <c r="A5">
        <v>2016</v>
      </c>
      <c r="B5" s="10" t="s">
        <v>3</v>
      </c>
      <c r="C5" s="11">
        <v>378749.61</v>
      </c>
      <c r="D5" s="2"/>
      <c r="E5" s="2"/>
      <c r="F5" s="2"/>
      <c r="G5" s="2"/>
      <c r="H5" s="2"/>
      <c r="I5" s="3"/>
      <c r="J5" s="3"/>
      <c r="K5" s="3"/>
      <c r="L5" s="2"/>
      <c r="M5" s="2"/>
    </row>
    <row r="6" spans="1:13">
      <c r="A6">
        <v>2016</v>
      </c>
      <c r="B6" s="10" t="s">
        <v>4</v>
      </c>
      <c r="C6" s="11">
        <v>85455.65</v>
      </c>
      <c r="D6" s="2"/>
      <c r="E6" s="2"/>
      <c r="F6" s="2"/>
      <c r="G6" s="2"/>
      <c r="H6" s="2"/>
      <c r="I6" s="4"/>
      <c r="J6" s="4"/>
      <c r="K6" s="4"/>
      <c r="L6" s="2"/>
      <c r="M6" s="2"/>
    </row>
    <row r="7" spans="1:13">
      <c r="A7">
        <v>2016</v>
      </c>
      <c r="B7" s="10" t="s">
        <v>5</v>
      </c>
      <c r="C7" s="11">
        <v>44687.79</v>
      </c>
      <c r="D7" s="2"/>
      <c r="E7" s="2"/>
      <c r="F7" s="2"/>
      <c r="G7" s="2"/>
      <c r="H7" s="2"/>
      <c r="I7" s="3"/>
      <c r="J7" s="3"/>
      <c r="K7" s="3"/>
      <c r="L7" s="2"/>
      <c r="M7" s="2"/>
    </row>
    <row r="8" spans="1:13">
      <c r="A8">
        <v>2016</v>
      </c>
      <c r="B8" s="10" t="s">
        <v>6</v>
      </c>
      <c r="C8" s="11">
        <v>153563.20000000001</v>
      </c>
      <c r="D8" s="2"/>
      <c r="E8" s="2"/>
      <c r="F8" s="2"/>
      <c r="G8" s="2"/>
      <c r="H8" s="2"/>
      <c r="I8" s="3"/>
      <c r="J8" s="3"/>
      <c r="K8" s="3"/>
      <c r="L8" s="2"/>
      <c r="M8" s="2"/>
    </row>
    <row r="9" spans="1:13">
      <c r="A9">
        <v>2016</v>
      </c>
      <c r="B9" s="10" t="s">
        <v>7</v>
      </c>
      <c r="C9" s="11">
        <v>568285.37</v>
      </c>
      <c r="D9" s="2"/>
      <c r="E9" s="2"/>
      <c r="F9" s="2"/>
      <c r="G9" s="2"/>
      <c r="H9" s="2"/>
      <c r="I9" s="3"/>
      <c r="J9" s="3"/>
      <c r="K9" s="3"/>
      <c r="L9" s="2"/>
      <c r="M9" s="2"/>
    </row>
    <row r="10" spans="1:13">
      <c r="A10">
        <v>2016</v>
      </c>
      <c r="B10" s="10" t="s">
        <v>8</v>
      </c>
      <c r="C10" s="11">
        <v>505038.22</v>
      </c>
      <c r="D10" s="2"/>
      <c r="E10" s="2"/>
      <c r="F10" s="2"/>
      <c r="G10" s="2"/>
      <c r="H10" s="2"/>
      <c r="I10" s="3"/>
      <c r="J10" s="3"/>
      <c r="K10" s="3"/>
      <c r="L10" s="2"/>
      <c r="M10" s="2"/>
    </row>
    <row r="11" spans="1:13">
      <c r="A11">
        <v>2016</v>
      </c>
      <c r="B11" s="10" t="s">
        <v>9</v>
      </c>
      <c r="C11" s="11">
        <v>100922.91</v>
      </c>
      <c r="D11" s="2"/>
      <c r="E11" s="2"/>
      <c r="F11" s="2"/>
      <c r="G11" s="2"/>
      <c r="H11" s="2"/>
      <c r="I11" s="4"/>
      <c r="J11" s="4"/>
      <c r="K11" s="4"/>
      <c r="L11" s="2"/>
      <c r="M11" s="2"/>
    </row>
    <row r="12" spans="1:13">
      <c r="A12">
        <v>2016</v>
      </c>
      <c r="B12" s="10" t="s">
        <v>10</v>
      </c>
      <c r="C12" s="11">
        <v>411318.66</v>
      </c>
      <c r="D12" s="2"/>
      <c r="E12" s="2"/>
      <c r="F12" s="2"/>
      <c r="G12" s="2"/>
      <c r="H12" s="2"/>
      <c r="I12" s="3"/>
      <c r="J12" s="3"/>
      <c r="K12" s="3"/>
      <c r="L12" s="2"/>
      <c r="M12" s="2"/>
    </row>
    <row r="13" spans="1:13">
      <c r="A13">
        <v>2016</v>
      </c>
      <c r="B13" s="10" t="s">
        <v>11</v>
      </c>
      <c r="C13" s="11">
        <v>51069.95</v>
      </c>
      <c r="D13" s="2"/>
      <c r="E13" s="2"/>
      <c r="F13" s="2"/>
      <c r="G13" s="2"/>
      <c r="H13" s="2"/>
      <c r="I13" s="3"/>
      <c r="J13" s="3"/>
      <c r="K13" s="3"/>
      <c r="L13" s="2"/>
      <c r="M13" s="2"/>
    </row>
    <row r="14" spans="1:13">
      <c r="A14">
        <v>2016</v>
      </c>
      <c r="B14" s="10" t="s">
        <v>12</v>
      </c>
      <c r="C14" s="11">
        <v>91727.73</v>
      </c>
      <c r="D14" s="2"/>
      <c r="E14" s="2"/>
      <c r="F14" s="2"/>
      <c r="G14" s="2"/>
      <c r="H14" s="2"/>
      <c r="I14" s="3"/>
      <c r="J14" s="3"/>
      <c r="K14" s="3"/>
      <c r="L14" s="2"/>
      <c r="M14" s="2"/>
    </row>
    <row r="15" spans="1:13">
      <c r="A15">
        <v>2016</v>
      </c>
      <c r="B15" s="10" t="s">
        <v>13</v>
      </c>
      <c r="C15" s="11">
        <v>129838.39</v>
      </c>
      <c r="D15" s="2"/>
      <c r="E15" s="2"/>
      <c r="F15" s="2"/>
      <c r="G15" s="2"/>
      <c r="H15" s="2"/>
      <c r="I15" s="3"/>
      <c r="J15" s="3"/>
      <c r="K15" s="3"/>
      <c r="L15" s="2"/>
      <c r="M15" s="2"/>
    </row>
    <row r="16" spans="1:13">
      <c r="A16">
        <v>2016</v>
      </c>
      <c r="B16" s="10" t="s">
        <v>14</v>
      </c>
      <c r="C16" s="11">
        <v>171561.4</v>
      </c>
      <c r="D16" s="2"/>
      <c r="E16" s="2"/>
      <c r="F16" s="2"/>
      <c r="G16" s="2"/>
      <c r="H16" s="2"/>
      <c r="I16" s="4"/>
      <c r="J16" s="4"/>
      <c r="K16" s="4"/>
      <c r="L16" s="2"/>
      <c r="M16" s="2"/>
    </row>
    <row r="17" spans="1:13">
      <c r="A17">
        <v>2016</v>
      </c>
      <c r="B17" s="10" t="s">
        <v>15</v>
      </c>
      <c r="C17" s="15">
        <v>0</v>
      </c>
      <c r="D17" s="2"/>
      <c r="E17" s="1"/>
      <c r="F17"/>
      <c r="G17"/>
      <c r="H17"/>
      <c r="I17"/>
      <c r="J17"/>
      <c r="K17"/>
      <c r="L17"/>
      <c r="M17"/>
    </row>
    <row r="18" spans="1:13">
      <c r="A18">
        <v>2016</v>
      </c>
      <c r="B18" s="10" t="s">
        <v>16</v>
      </c>
      <c r="C18" s="11">
        <v>170791.96</v>
      </c>
      <c r="D18" s="2"/>
      <c r="E18" s="2"/>
      <c r="F18" s="2"/>
      <c r="G18" s="2"/>
      <c r="H18" s="2"/>
      <c r="I18" s="2"/>
      <c r="J18" s="2"/>
      <c r="K18"/>
      <c r="L18"/>
      <c r="M18"/>
    </row>
    <row r="19" spans="1:13">
      <c r="A19">
        <v>2016</v>
      </c>
      <c r="B19" s="10" t="s">
        <v>17</v>
      </c>
      <c r="C19" s="11">
        <v>49460.98</v>
      </c>
      <c r="D19" s="2"/>
      <c r="E19" s="2"/>
      <c r="F19" s="2"/>
      <c r="G19" s="2"/>
      <c r="H19" s="2"/>
      <c r="I19" s="2"/>
      <c r="J19" s="2"/>
      <c r="K19"/>
      <c r="L19"/>
      <c r="M19"/>
    </row>
    <row r="20" spans="1:13">
      <c r="A20">
        <v>2016</v>
      </c>
      <c r="B20" s="10" t="s">
        <v>18</v>
      </c>
      <c r="C20" s="11">
        <v>223363.43</v>
      </c>
      <c r="D20" s="2"/>
      <c r="E20" s="2"/>
      <c r="F20" s="2"/>
      <c r="G20" s="2"/>
      <c r="H20" s="2"/>
      <c r="I20" s="2"/>
      <c r="J20" s="2"/>
      <c r="K20"/>
      <c r="L20"/>
      <c r="M20"/>
    </row>
    <row r="21" spans="1:13">
      <c r="A21">
        <v>2016</v>
      </c>
      <c r="B21" s="10" t="s">
        <v>19</v>
      </c>
      <c r="C21" s="11">
        <v>515798.77</v>
      </c>
      <c r="D21" s="2"/>
      <c r="E21" s="2"/>
      <c r="F21" s="2"/>
      <c r="G21" s="2"/>
      <c r="H21" s="2"/>
      <c r="I21" s="2"/>
      <c r="J21" s="2"/>
      <c r="K21"/>
      <c r="L21"/>
      <c r="M21"/>
    </row>
    <row r="22" spans="1:13">
      <c r="A22">
        <v>2016</v>
      </c>
      <c r="B22" s="10" t="s">
        <v>20</v>
      </c>
      <c r="D22" s="1"/>
      <c r="E22" s="1"/>
      <c r="F22" s="1"/>
      <c r="G22" s="2"/>
      <c r="H22" s="2"/>
      <c r="I22" s="1"/>
      <c r="J22" s="1"/>
      <c r="K22"/>
      <c r="L22"/>
      <c r="M22"/>
    </row>
    <row r="23" spans="1:13">
      <c r="A23">
        <v>2016</v>
      </c>
      <c r="B23" s="10" t="s">
        <v>21</v>
      </c>
      <c r="C23" s="11">
        <v>55894.5</v>
      </c>
      <c r="D23" s="2"/>
      <c r="E23" s="2"/>
      <c r="F23" s="2"/>
      <c r="G23" s="2"/>
      <c r="H23" s="2"/>
      <c r="I23" s="2"/>
      <c r="J23" s="2"/>
      <c r="K23"/>
      <c r="L23"/>
      <c r="M23"/>
    </row>
    <row r="24" spans="1:13">
      <c r="A24">
        <v>2016</v>
      </c>
      <c r="B24" s="10" t="s">
        <v>22</v>
      </c>
      <c r="C24" s="11">
        <v>85807.07</v>
      </c>
      <c r="D24" s="2"/>
      <c r="E24" s="2"/>
      <c r="F24" s="2"/>
      <c r="G24" s="2"/>
      <c r="H24" s="2"/>
      <c r="I24" s="2"/>
      <c r="J24" s="2"/>
      <c r="K24"/>
      <c r="L24"/>
      <c r="M24"/>
    </row>
    <row r="25" spans="1:13">
      <c r="A25">
        <v>2016</v>
      </c>
      <c r="B25" s="10" t="s">
        <v>23</v>
      </c>
      <c r="C25" s="11">
        <v>193216.03</v>
      </c>
      <c r="D25" s="2"/>
      <c r="E25" s="2"/>
      <c r="F25" s="2"/>
      <c r="G25" s="2"/>
      <c r="H25" s="2"/>
      <c r="I25" s="2"/>
      <c r="J25" s="2"/>
      <c r="K25"/>
      <c r="L25"/>
      <c r="M25"/>
    </row>
    <row r="26" spans="1:13">
      <c r="A26">
        <v>2016</v>
      </c>
      <c r="B26" s="10" t="s">
        <v>24</v>
      </c>
      <c r="C26" s="11">
        <v>39770.6</v>
      </c>
      <c r="D26" s="2"/>
      <c r="E26" s="2"/>
      <c r="F26" s="2"/>
      <c r="G26" s="2"/>
      <c r="H26" s="2"/>
      <c r="I26" s="2"/>
      <c r="J26" s="2"/>
      <c r="K26"/>
      <c r="L26"/>
      <c r="M26"/>
    </row>
    <row r="27" spans="1:13">
      <c r="A27">
        <v>2016</v>
      </c>
      <c r="B27" s="10" t="s">
        <v>25</v>
      </c>
      <c r="C27" s="11">
        <v>63398.16</v>
      </c>
      <c r="D27" s="2"/>
      <c r="E27" s="2"/>
      <c r="F27" s="2"/>
      <c r="G27" s="2"/>
      <c r="H27" s="2"/>
      <c r="I27" s="2"/>
      <c r="J27" s="2"/>
      <c r="K27"/>
      <c r="L27"/>
      <c r="M27"/>
    </row>
    <row r="28" spans="1:13">
      <c r="A28">
        <v>2016</v>
      </c>
      <c r="B28" s="10" t="s">
        <v>26</v>
      </c>
      <c r="C28" s="11">
        <v>127895.41</v>
      </c>
      <c r="D28" s="2"/>
      <c r="E28" s="2"/>
      <c r="F28" s="2"/>
      <c r="G28" s="2"/>
      <c r="H28" s="2"/>
      <c r="I28" s="2"/>
      <c r="J28" s="2"/>
      <c r="K28"/>
      <c r="L28"/>
      <c r="M28"/>
    </row>
    <row r="29" spans="1:13">
      <c r="A29">
        <v>2016</v>
      </c>
      <c r="B29" s="10" t="s">
        <v>27</v>
      </c>
      <c r="C29" s="11">
        <v>3410479.12</v>
      </c>
      <c r="D29" s="2"/>
      <c r="E29" s="2"/>
      <c r="F29" s="2"/>
      <c r="G29" s="2"/>
      <c r="H29" s="2"/>
      <c r="I29" s="2"/>
      <c r="J29" s="2"/>
      <c r="K29"/>
      <c r="L29"/>
      <c r="M29"/>
    </row>
    <row r="30" spans="1:13">
      <c r="A30">
        <v>2016</v>
      </c>
      <c r="B30" s="10" t="s">
        <v>28</v>
      </c>
      <c r="C30" s="11">
        <v>132091.79</v>
      </c>
      <c r="D30" s="2"/>
      <c r="E30" s="2"/>
      <c r="F30" s="2"/>
      <c r="G30" s="2"/>
      <c r="H30" s="2"/>
      <c r="I30" s="2"/>
      <c r="J30" s="2"/>
      <c r="K30"/>
      <c r="L30"/>
      <c r="M30"/>
    </row>
    <row r="31" spans="1:13">
      <c r="A31">
        <v>2016</v>
      </c>
      <c r="B31" s="10" t="s">
        <v>29</v>
      </c>
      <c r="C31" s="11">
        <v>86389.57</v>
      </c>
      <c r="D31" s="2"/>
      <c r="E31" s="2"/>
      <c r="F31" s="2"/>
      <c r="G31" s="2"/>
      <c r="H31" s="2"/>
      <c r="I31" s="2"/>
      <c r="J31" s="2"/>
      <c r="K31"/>
      <c r="L31"/>
      <c r="M31"/>
    </row>
    <row r="32" spans="1:13">
      <c r="A32">
        <v>2016</v>
      </c>
      <c r="B32" s="10" t="s">
        <v>30</v>
      </c>
      <c r="C32" s="11">
        <v>231894.76</v>
      </c>
      <c r="D32" s="2"/>
      <c r="E32" s="2"/>
      <c r="F32" s="2"/>
      <c r="G32" s="2"/>
      <c r="H32" s="2"/>
      <c r="I32" s="2"/>
      <c r="J32" s="2"/>
      <c r="K32"/>
      <c r="L32"/>
      <c r="M32"/>
    </row>
    <row r="33" spans="1:13">
      <c r="A33">
        <v>2016</v>
      </c>
      <c r="B33" s="10" t="s">
        <v>31</v>
      </c>
      <c r="C33" s="11">
        <v>170899.03</v>
      </c>
      <c r="D33" s="2"/>
      <c r="E33" s="2"/>
      <c r="F33" s="2"/>
      <c r="G33" s="2"/>
      <c r="H33" s="2"/>
      <c r="I33" s="2"/>
      <c r="J33" s="2"/>
      <c r="K33"/>
      <c r="L33"/>
      <c r="M33"/>
    </row>
    <row r="34" spans="1:13">
      <c r="A34">
        <v>2016</v>
      </c>
      <c r="B34" s="10" t="s">
        <v>32</v>
      </c>
      <c r="C34" s="11">
        <v>210041.23</v>
      </c>
      <c r="D34" s="2"/>
      <c r="E34" s="2"/>
      <c r="F34" s="2"/>
      <c r="G34" s="2"/>
      <c r="H34" s="2"/>
      <c r="I34" s="2"/>
      <c r="J34" s="2"/>
      <c r="K34"/>
      <c r="L34"/>
      <c r="M34"/>
    </row>
    <row r="35" spans="1:13">
      <c r="A35">
        <v>2016</v>
      </c>
      <c r="B35" s="10" t="s">
        <v>33</v>
      </c>
      <c r="C35" s="11">
        <v>70465.350000000006</v>
      </c>
      <c r="D35" s="2"/>
      <c r="E35" s="2"/>
      <c r="F35" s="2"/>
      <c r="G35" s="2"/>
      <c r="H35" s="2"/>
      <c r="I35" s="2"/>
      <c r="J35" s="2"/>
      <c r="K35"/>
      <c r="L35"/>
      <c r="M35"/>
    </row>
    <row r="36" spans="1:13">
      <c r="A36">
        <v>2016</v>
      </c>
      <c r="B36" s="10" t="s">
        <v>34</v>
      </c>
      <c r="C36" s="11">
        <v>93631.2</v>
      </c>
      <c r="D36" s="2"/>
      <c r="E36" s="2"/>
      <c r="F36" s="2"/>
      <c r="G36" s="2"/>
      <c r="H36" s="2"/>
      <c r="I36" s="2"/>
      <c r="J36" s="2"/>
      <c r="K36"/>
      <c r="L36"/>
      <c r="M36"/>
    </row>
    <row r="37" spans="1:13">
      <c r="A37">
        <v>2016</v>
      </c>
      <c r="B37" s="10" t="s">
        <v>35</v>
      </c>
      <c r="C37" s="11">
        <v>289975</v>
      </c>
      <c r="D37" s="2"/>
      <c r="E37" s="2"/>
      <c r="F37" s="2"/>
      <c r="G37" s="2"/>
      <c r="H37" s="2"/>
      <c r="I37" s="2"/>
      <c r="J37" s="2"/>
      <c r="K37"/>
      <c r="L37"/>
      <c r="M37"/>
    </row>
    <row r="38" spans="1:13">
      <c r="A38">
        <v>2016</v>
      </c>
      <c r="B38" s="10" t="s">
        <v>36</v>
      </c>
      <c r="C38" s="11">
        <v>129049.29</v>
      </c>
      <c r="D38" s="2"/>
      <c r="E38" s="2"/>
      <c r="F38" s="2"/>
      <c r="G38" s="2"/>
      <c r="H38" s="2"/>
      <c r="I38" s="2"/>
      <c r="J38" s="2"/>
      <c r="K38"/>
      <c r="L38"/>
      <c r="M38"/>
    </row>
    <row r="39" spans="1:13">
      <c r="A39">
        <v>2016</v>
      </c>
      <c r="B39" s="10" t="s">
        <v>37</v>
      </c>
      <c r="C39" s="11">
        <v>139614.16</v>
      </c>
      <c r="D39" s="2"/>
      <c r="E39" s="2"/>
      <c r="F39" s="2"/>
      <c r="G39" s="2"/>
      <c r="H39" s="2"/>
      <c r="I39" s="2"/>
      <c r="J39" s="2"/>
      <c r="K39"/>
      <c r="L39"/>
      <c r="M39"/>
    </row>
    <row r="40" spans="1:13">
      <c r="A40">
        <v>2016</v>
      </c>
      <c r="B40" s="10" t="s">
        <v>38</v>
      </c>
      <c r="C40" s="11">
        <v>1713794</v>
      </c>
      <c r="D40" s="2"/>
      <c r="E40" s="2"/>
      <c r="F40" s="2"/>
      <c r="G40" s="2"/>
      <c r="H40" s="2"/>
      <c r="I40" s="2"/>
      <c r="J40" s="2"/>
      <c r="K40"/>
      <c r="L40"/>
      <c r="M40"/>
    </row>
    <row r="41" spans="1:13">
      <c r="A41">
        <v>2016</v>
      </c>
      <c r="B41" s="10" t="s">
        <v>39</v>
      </c>
      <c r="C41" s="11">
        <v>85064.52</v>
      </c>
      <c r="D41" s="2"/>
      <c r="E41" s="2"/>
      <c r="F41" s="2"/>
      <c r="G41" s="2"/>
      <c r="H41" s="2"/>
      <c r="I41" s="2"/>
      <c r="J41" s="2"/>
      <c r="K41"/>
      <c r="L41"/>
      <c r="M41"/>
    </row>
    <row r="42" spans="1:13">
      <c r="A42">
        <v>2016</v>
      </c>
      <c r="B42" s="10" t="s">
        <v>40</v>
      </c>
      <c r="C42" s="11">
        <v>65789.63</v>
      </c>
      <c r="D42" s="2"/>
      <c r="E42" s="2"/>
      <c r="F42" s="2"/>
      <c r="G42" s="2"/>
      <c r="H42" s="2"/>
      <c r="I42" s="2"/>
      <c r="J42" s="2"/>
      <c r="K42"/>
      <c r="L42"/>
      <c r="M42"/>
    </row>
    <row r="43" spans="1:13">
      <c r="A43">
        <v>2016</v>
      </c>
      <c r="B43" s="10" t="s">
        <v>41</v>
      </c>
      <c r="C43" s="11">
        <v>77044.22</v>
      </c>
      <c r="D43" s="2"/>
      <c r="E43" s="2"/>
      <c r="F43" s="2"/>
      <c r="G43" s="2"/>
      <c r="H43" s="2"/>
      <c r="I43" s="2"/>
      <c r="J43" s="2"/>
      <c r="K43"/>
      <c r="L43"/>
      <c r="M43"/>
    </row>
    <row r="44" spans="1:13">
      <c r="A44">
        <v>2016</v>
      </c>
      <c r="B44" s="10" t="s">
        <v>42</v>
      </c>
      <c r="C44" s="11">
        <v>115185.04</v>
      </c>
      <c r="D44" s="2"/>
      <c r="E44" s="2"/>
      <c r="F44" s="2"/>
      <c r="G44" s="2"/>
      <c r="H44" s="2"/>
      <c r="I44" s="2"/>
      <c r="J44" s="2"/>
      <c r="K44"/>
      <c r="L44"/>
      <c r="M44"/>
    </row>
    <row r="45" spans="1:13">
      <c r="A45">
        <v>2016</v>
      </c>
      <c r="B45" s="10" t="s">
        <v>43</v>
      </c>
      <c r="C45" s="11">
        <v>259924.12</v>
      </c>
      <c r="D45" s="2"/>
      <c r="E45" s="2"/>
      <c r="F45" s="2"/>
      <c r="G45" s="2"/>
      <c r="H45" s="2"/>
      <c r="I45" s="2"/>
      <c r="J45" s="2"/>
      <c r="K45"/>
      <c r="L45"/>
      <c r="M45"/>
    </row>
    <row r="46" spans="1:13">
      <c r="A46">
        <v>2016</v>
      </c>
      <c r="B46" s="10" t="s">
        <v>44</v>
      </c>
      <c r="C46" s="11">
        <v>265402.23999999999</v>
      </c>
      <c r="D46" s="2"/>
      <c r="E46" s="2"/>
      <c r="F46" s="2"/>
      <c r="G46" s="2"/>
      <c r="H46" s="2"/>
      <c r="I46" s="2"/>
      <c r="J46" s="2"/>
      <c r="K46"/>
      <c r="L46"/>
      <c r="M46"/>
    </row>
    <row r="47" spans="1:13">
      <c r="A47">
        <v>2016</v>
      </c>
      <c r="B47" s="10" t="s">
        <v>45</v>
      </c>
      <c r="C47" s="11">
        <v>152724.41</v>
      </c>
      <c r="D47" s="2"/>
      <c r="E47" s="2"/>
      <c r="F47" s="2"/>
      <c r="G47" s="2"/>
      <c r="H47" s="2"/>
      <c r="I47" s="2"/>
      <c r="J47" s="2"/>
      <c r="K47"/>
      <c r="L47"/>
      <c r="M47"/>
    </row>
    <row r="48" spans="1:13">
      <c r="A48">
        <v>2016</v>
      </c>
      <c r="B48" s="10" t="s">
        <v>46</v>
      </c>
      <c r="C48" s="11">
        <v>66983.070000000007</v>
      </c>
      <c r="D48" s="2"/>
      <c r="E48" s="2"/>
      <c r="F48" s="2"/>
      <c r="G48" s="2"/>
      <c r="H48" s="2"/>
      <c r="I48" s="2"/>
      <c r="J48" s="2"/>
      <c r="K48"/>
      <c r="L48"/>
      <c r="M48"/>
    </row>
    <row r="49" spans="1:13">
      <c r="A49">
        <v>2016</v>
      </c>
      <c r="B49" s="10" t="s">
        <v>47</v>
      </c>
      <c r="C49" s="11">
        <v>132234.66</v>
      </c>
      <c r="D49" s="2"/>
      <c r="E49" s="2"/>
      <c r="F49" s="2"/>
      <c r="G49" s="2"/>
      <c r="H49" s="2"/>
      <c r="I49" s="2"/>
      <c r="J49" s="2"/>
      <c r="K49"/>
      <c r="L49"/>
      <c r="M49"/>
    </row>
    <row r="50" spans="1:13">
      <c r="A50">
        <v>2016</v>
      </c>
      <c r="B50" s="10" t="s">
        <v>48</v>
      </c>
      <c r="C50" s="11">
        <v>145834.31</v>
      </c>
      <c r="D50" s="2"/>
      <c r="E50" s="2"/>
      <c r="F50" s="2"/>
      <c r="G50" s="2"/>
      <c r="H50" s="2"/>
      <c r="I50" s="2"/>
      <c r="J50" s="2"/>
      <c r="K50"/>
      <c r="L50"/>
      <c r="M50"/>
    </row>
    <row r="51" spans="1:13">
      <c r="A51">
        <v>2016</v>
      </c>
      <c r="B51" s="10" t="s">
        <v>49</v>
      </c>
      <c r="C51" s="11">
        <v>112550.09</v>
      </c>
      <c r="D51" s="2"/>
      <c r="E51" s="2"/>
      <c r="F51" s="2"/>
      <c r="G51" s="2"/>
      <c r="H51" s="2"/>
      <c r="I51" s="2"/>
      <c r="J51" s="2"/>
      <c r="K51"/>
      <c r="L51"/>
      <c r="M51"/>
    </row>
    <row r="52" spans="1:13">
      <c r="A52">
        <v>2016</v>
      </c>
      <c r="B52" s="10" t="s">
        <v>50</v>
      </c>
      <c r="C52" s="11">
        <v>7409.04</v>
      </c>
      <c r="D52" s="2"/>
      <c r="E52" s="2"/>
      <c r="F52" s="2"/>
      <c r="G52" s="2"/>
      <c r="H52" s="2"/>
      <c r="I52" s="2"/>
      <c r="J52" s="2"/>
      <c r="K52"/>
      <c r="L52"/>
      <c r="M52"/>
    </row>
    <row r="53" spans="1:13">
      <c r="A53">
        <v>2016</v>
      </c>
      <c r="B53" s="10" t="s">
        <v>51</v>
      </c>
      <c r="C53" s="11">
        <v>409173.75</v>
      </c>
      <c r="D53" s="2"/>
      <c r="E53" s="2"/>
      <c r="F53" s="2"/>
      <c r="G53" s="2"/>
      <c r="H53" s="2"/>
      <c r="I53" s="2"/>
      <c r="J53" s="2"/>
      <c r="K53"/>
      <c r="L53"/>
      <c r="M53"/>
    </row>
    <row r="54" spans="1:13">
      <c r="A54">
        <v>2016</v>
      </c>
      <c r="B54" s="10" t="s">
        <v>52</v>
      </c>
      <c r="C54" s="11">
        <v>1498233.76</v>
      </c>
      <c r="D54" s="2"/>
      <c r="E54" s="2"/>
      <c r="F54" s="2"/>
      <c r="G54" s="2"/>
      <c r="H54" s="2"/>
      <c r="I54" s="2"/>
      <c r="J54" s="2"/>
      <c r="K54"/>
      <c r="L54"/>
      <c r="M54"/>
    </row>
    <row r="55" spans="1:13">
      <c r="A55">
        <v>2016</v>
      </c>
      <c r="B55" s="10" t="s">
        <v>53</v>
      </c>
      <c r="C55" s="11">
        <v>923550.52</v>
      </c>
      <c r="D55" s="2"/>
      <c r="E55" s="2"/>
      <c r="F55" s="2"/>
      <c r="G55" s="2"/>
      <c r="H55" s="2"/>
      <c r="I55" s="2"/>
      <c r="J55" s="2"/>
      <c r="K55"/>
      <c r="L55"/>
      <c r="M55"/>
    </row>
    <row r="56" spans="1:13">
      <c r="A56">
        <v>2016</v>
      </c>
      <c r="B56" s="10" t="s">
        <v>54</v>
      </c>
      <c r="C56" s="11">
        <v>1110809.04</v>
      </c>
      <c r="D56" s="2"/>
      <c r="E56" s="2"/>
      <c r="F56" s="2"/>
      <c r="G56" s="2"/>
      <c r="H56" s="2"/>
      <c r="I56" s="2"/>
      <c r="J56" s="2"/>
      <c r="K56"/>
      <c r="L56"/>
      <c r="M56"/>
    </row>
    <row r="57" spans="1:13">
      <c r="A57">
        <v>2016</v>
      </c>
      <c r="B57" s="10" t="s">
        <v>55</v>
      </c>
      <c r="C57" s="11">
        <v>210445.19</v>
      </c>
      <c r="D57" s="2"/>
      <c r="E57" s="2"/>
      <c r="F57" s="2"/>
      <c r="G57" s="2"/>
      <c r="H57" s="2"/>
      <c r="I57" s="2"/>
      <c r="J57" s="2"/>
      <c r="K57"/>
      <c r="L57"/>
      <c r="M57"/>
    </row>
    <row r="58" spans="1:13">
      <c r="A58">
        <v>2016</v>
      </c>
      <c r="B58" s="10" t="s">
        <v>56</v>
      </c>
      <c r="C58" s="11">
        <v>496413.03</v>
      </c>
      <c r="D58" s="2"/>
      <c r="E58" s="2"/>
      <c r="F58" s="2"/>
      <c r="G58" s="2"/>
      <c r="H58" s="2"/>
      <c r="I58" s="2"/>
      <c r="J58" s="2"/>
      <c r="K58"/>
      <c r="L58"/>
      <c r="M58"/>
    </row>
    <row r="59" spans="1:13">
      <c r="A59">
        <v>2016</v>
      </c>
      <c r="B59" s="10" t="s">
        <v>57</v>
      </c>
      <c r="C59" s="11">
        <v>138766.29999999999</v>
      </c>
      <c r="D59" s="2"/>
      <c r="E59" s="2"/>
      <c r="F59" s="2"/>
      <c r="G59" s="2"/>
      <c r="H59" s="2"/>
      <c r="I59" s="2"/>
      <c r="J59" s="2"/>
      <c r="K59"/>
      <c r="L59"/>
      <c r="M59"/>
    </row>
    <row r="60" spans="1:13">
      <c r="A60">
        <v>2016</v>
      </c>
      <c r="B60" s="10" t="s">
        <v>58</v>
      </c>
      <c r="C60" s="11">
        <v>96068.56</v>
      </c>
      <c r="D60" s="2"/>
      <c r="E60" s="2"/>
      <c r="F60" s="2"/>
      <c r="G60" s="2"/>
      <c r="H60" s="2"/>
      <c r="I60" s="2"/>
      <c r="J60" s="2"/>
      <c r="K60"/>
      <c r="L60"/>
      <c r="M60"/>
    </row>
    <row r="61" spans="1:13">
      <c r="A61">
        <v>2016</v>
      </c>
      <c r="B61" s="10" t="s">
        <v>59</v>
      </c>
      <c r="C61" s="11">
        <v>112492.14</v>
      </c>
      <c r="D61" s="2"/>
      <c r="E61" s="2"/>
      <c r="F61" s="2"/>
      <c r="G61" s="2"/>
      <c r="H61" s="2"/>
      <c r="I61" s="2"/>
      <c r="J61" s="2"/>
      <c r="K61"/>
      <c r="L61"/>
      <c r="M61"/>
    </row>
    <row r="62" spans="1:13">
      <c r="A62">
        <v>2016</v>
      </c>
      <c r="B62" s="10" t="s">
        <v>60</v>
      </c>
      <c r="C62" s="11">
        <v>87963.33</v>
      </c>
      <c r="D62" s="2"/>
      <c r="E62" s="2"/>
      <c r="F62" s="2"/>
      <c r="G62" s="2"/>
      <c r="H62" s="2"/>
      <c r="I62" s="2"/>
      <c r="J62" s="2"/>
      <c r="K62"/>
      <c r="L62"/>
      <c r="M62"/>
    </row>
    <row r="63" spans="1:13">
      <c r="A63">
        <v>2016</v>
      </c>
      <c r="B63" s="10" t="s">
        <v>61</v>
      </c>
      <c r="C63" s="11">
        <v>64032.08</v>
      </c>
      <c r="D63" s="2"/>
      <c r="E63" s="2"/>
      <c r="F63" s="2"/>
      <c r="G63" s="2"/>
      <c r="H63" s="2"/>
      <c r="I63" s="2"/>
      <c r="J63" s="2"/>
      <c r="K63"/>
      <c r="L63"/>
      <c r="M63"/>
    </row>
    <row r="64" spans="1:13">
      <c r="A64">
        <v>2016</v>
      </c>
      <c r="B64" s="10" t="s">
        <v>62</v>
      </c>
      <c r="C64" s="11">
        <v>370513.18</v>
      </c>
      <c r="D64" s="2"/>
      <c r="E64" s="2"/>
      <c r="F64" s="2"/>
      <c r="G64" s="2"/>
      <c r="H64" s="2"/>
      <c r="I64" s="2"/>
      <c r="J64" s="2"/>
      <c r="K64"/>
      <c r="L64"/>
      <c r="M64"/>
    </row>
    <row r="65" spans="1:13">
      <c r="A65">
        <v>2016</v>
      </c>
      <c r="B65" s="10" t="s">
        <v>63</v>
      </c>
      <c r="C65" s="11">
        <v>71823.289999999994</v>
      </c>
      <c r="D65" s="2"/>
      <c r="E65" s="2"/>
      <c r="F65" s="2"/>
      <c r="G65" s="2"/>
      <c r="H65" s="2"/>
      <c r="I65" s="2"/>
      <c r="J65" s="2"/>
      <c r="K65"/>
      <c r="L65"/>
      <c r="M65"/>
    </row>
    <row r="66" spans="1:13">
      <c r="A66">
        <v>2016</v>
      </c>
      <c r="B66" s="10" t="s">
        <v>64</v>
      </c>
      <c r="C66" s="11">
        <v>59494.74</v>
      </c>
      <c r="D66" s="2"/>
      <c r="E66" s="2"/>
      <c r="F66" s="2"/>
      <c r="G66" s="2"/>
      <c r="H66" s="2"/>
      <c r="I66" s="2"/>
      <c r="J66" s="2"/>
      <c r="K66"/>
      <c r="L66"/>
      <c r="M66"/>
    </row>
    <row r="67" spans="1:13">
      <c r="A67">
        <v>2016</v>
      </c>
      <c r="B67" s="10" t="s">
        <v>65</v>
      </c>
      <c r="C67" s="11">
        <v>153387.59</v>
      </c>
      <c r="D67" s="2"/>
      <c r="E67" s="2"/>
      <c r="F67" s="2"/>
      <c r="G67" s="2"/>
      <c r="H67" s="2"/>
      <c r="I67" s="2"/>
      <c r="J67" s="2"/>
      <c r="K67"/>
      <c r="L67"/>
      <c r="M67"/>
    </row>
    <row r="68" spans="1:13">
      <c r="A68">
        <v>2016</v>
      </c>
      <c r="B68" s="10" t="s">
        <v>66</v>
      </c>
      <c r="C68" s="11">
        <v>49748.63</v>
      </c>
      <c r="D68" s="2"/>
      <c r="E68" s="2"/>
      <c r="F68" s="2"/>
      <c r="G68" s="2"/>
      <c r="H68" s="2"/>
      <c r="I68" s="2"/>
      <c r="J68" s="2"/>
      <c r="K68"/>
      <c r="L68"/>
      <c r="M68"/>
    </row>
    <row r="69" spans="1:13">
      <c r="A69">
        <v>2016</v>
      </c>
      <c r="B69" s="10" t="s">
        <v>67</v>
      </c>
      <c r="C69" s="11">
        <v>10506.1</v>
      </c>
      <c r="D69" s="2"/>
      <c r="E69" s="2"/>
      <c r="F69" s="2"/>
      <c r="G69" s="2"/>
      <c r="H69" s="2"/>
      <c r="I69" s="2"/>
      <c r="J69" s="2"/>
      <c r="K69"/>
      <c r="L69"/>
      <c r="M69"/>
    </row>
    <row r="70" spans="1:13">
      <c r="A70">
        <v>2016</v>
      </c>
      <c r="B70" s="10" t="s">
        <v>68</v>
      </c>
      <c r="C70" s="11">
        <v>97535.38</v>
      </c>
      <c r="D70" s="2"/>
      <c r="E70" s="2"/>
      <c r="F70" s="2"/>
      <c r="G70" s="2"/>
      <c r="H70" s="2"/>
      <c r="I70" s="2"/>
      <c r="J70" s="2"/>
      <c r="K70"/>
      <c r="L70"/>
      <c r="M70"/>
    </row>
    <row r="71" spans="1:13">
      <c r="A71">
        <v>2016</v>
      </c>
      <c r="B71" s="10" t="s">
        <v>69</v>
      </c>
      <c r="C71" s="11">
        <v>30241.67</v>
      </c>
      <c r="D71" s="2"/>
      <c r="E71" s="2"/>
      <c r="F71" s="2"/>
      <c r="G71" s="2"/>
      <c r="H71" s="2"/>
      <c r="I71" s="2"/>
      <c r="J71" s="2"/>
      <c r="K71"/>
      <c r="L71"/>
      <c r="M71"/>
    </row>
    <row r="72" spans="1:13">
      <c r="A72">
        <v>2016</v>
      </c>
      <c r="B72" s="10" t="s">
        <v>70</v>
      </c>
      <c r="C72" s="11">
        <v>154528.14000000001</v>
      </c>
      <c r="D72" s="2"/>
      <c r="E72" s="2"/>
      <c r="F72" s="2"/>
      <c r="G72" s="2"/>
      <c r="H72" s="2"/>
      <c r="I72" s="2"/>
      <c r="J72" s="2"/>
      <c r="K72"/>
      <c r="L72"/>
      <c r="M72"/>
    </row>
    <row r="73" spans="1:13">
      <c r="A73">
        <v>2016</v>
      </c>
      <c r="B73" s="10" t="s">
        <v>71</v>
      </c>
      <c r="C73" s="11">
        <v>1669683.82</v>
      </c>
      <c r="D73" s="2"/>
      <c r="E73" s="2"/>
      <c r="F73" s="2"/>
      <c r="G73" s="2"/>
      <c r="H73" s="2"/>
      <c r="I73" s="2"/>
      <c r="J73" s="2"/>
      <c r="K73"/>
      <c r="L73"/>
      <c r="M73"/>
    </row>
    <row r="74" spans="1:13">
      <c r="A74">
        <v>2016</v>
      </c>
      <c r="B74" s="10" t="s">
        <v>72</v>
      </c>
      <c r="C74" s="11">
        <v>203054.16</v>
      </c>
      <c r="D74" s="2"/>
      <c r="E74" s="2"/>
      <c r="F74" s="2"/>
      <c r="G74" s="2"/>
      <c r="H74" s="2"/>
      <c r="I74" s="2"/>
      <c r="J74" s="2"/>
      <c r="K74"/>
      <c r="L74"/>
      <c r="M74"/>
    </row>
    <row r="75" spans="1:13">
      <c r="A75">
        <v>2016</v>
      </c>
      <c r="B75" s="10" t="s">
        <v>73</v>
      </c>
      <c r="C75" s="11">
        <v>187584.95</v>
      </c>
      <c r="D75" s="2"/>
      <c r="E75" s="2"/>
      <c r="F75" s="2"/>
      <c r="G75" s="2"/>
      <c r="H75" s="2"/>
      <c r="I75" s="2"/>
      <c r="J75" s="2"/>
      <c r="K75"/>
      <c r="L75"/>
      <c r="M75"/>
    </row>
    <row r="76" spans="1:13">
      <c r="A76">
        <v>2016</v>
      </c>
      <c r="B76" s="10" t="s">
        <v>74</v>
      </c>
      <c r="C76" s="11">
        <v>343536.15</v>
      </c>
      <c r="D76" s="2"/>
      <c r="E76" s="2"/>
      <c r="F76" s="2"/>
      <c r="G76" s="2"/>
      <c r="H76" s="2"/>
      <c r="I76" s="2"/>
      <c r="J76" s="2"/>
      <c r="K76"/>
      <c r="L76"/>
      <c r="M76"/>
    </row>
    <row r="77" spans="1:13">
      <c r="A77">
        <v>2016</v>
      </c>
      <c r="B77" s="10" t="s">
        <v>75</v>
      </c>
      <c r="C77" s="11">
        <v>35217.19</v>
      </c>
      <c r="D77" s="2"/>
      <c r="E77" s="2"/>
      <c r="F77" s="2"/>
      <c r="G77" s="2"/>
      <c r="H77" s="2"/>
      <c r="I77" s="2"/>
      <c r="J77" s="2"/>
      <c r="K77"/>
      <c r="L77"/>
      <c r="M77"/>
    </row>
    <row r="78" spans="1:13">
      <c r="A78">
        <v>2016</v>
      </c>
      <c r="B78" s="10" t="s">
        <v>76</v>
      </c>
      <c r="C78" s="11">
        <v>69471.73</v>
      </c>
      <c r="D78" s="2"/>
      <c r="E78" s="2"/>
      <c r="F78" s="2"/>
      <c r="G78" s="2"/>
      <c r="H78" s="2"/>
      <c r="I78" s="2"/>
      <c r="J78" s="2"/>
      <c r="K78"/>
      <c r="L78"/>
      <c r="M78"/>
    </row>
    <row r="79" spans="1:13">
      <c r="A79">
        <v>2016</v>
      </c>
      <c r="B79" s="10" t="s">
        <v>77</v>
      </c>
      <c r="C79" s="11">
        <v>168460.11</v>
      </c>
      <c r="D79" s="2"/>
      <c r="E79" s="2"/>
      <c r="F79" s="2"/>
      <c r="G79" s="2"/>
      <c r="H79" s="2"/>
      <c r="I79" s="3"/>
      <c r="J79" s="3"/>
      <c r="K79" s="3"/>
      <c r="L79" s="2"/>
      <c r="M79" s="2"/>
    </row>
    <row r="80" spans="1:13">
      <c r="A80">
        <v>2016</v>
      </c>
      <c r="B80" s="10" t="s">
        <v>78</v>
      </c>
      <c r="C80" s="11">
        <v>73275.710000000006</v>
      </c>
      <c r="D80" s="2"/>
      <c r="E80" s="2"/>
      <c r="F80" s="2"/>
      <c r="G80" s="2"/>
      <c r="H80" s="2"/>
      <c r="I80" s="3"/>
      <c r="J80" s="3"/>
      <c r="K80" s="3"/>
      <c r="L80" s="2"/>
      <c r="M80" s="2"/>
    </row>
    <row r="81" spans="1:13">
      <c r="A81">
        <v>2016</v>
      </c>
      <c r="B81" s="10" t="s">
        <v>79</v>
      </c>
      <c r="C81" s="11">
        <v>27868.12</v>
      </c>
      <c r="D81" s="2"/>
      <c r="E81" s="2"/>
      <c r="F81" s="2"/>
      <c r="G81" s="2"/>
      <c r="H81" s="2"/>
      <c r="I81" s="4"/>
      <c r="J81" s="4"/>
      <c r="K81" s="4"/>
      <c r="L81" s="2"/>
      <c r="M81" s="2"/>
    </row>
    <row r="82" spans="1:13">
      <c r="A82">
        <v>2016</v>
      </c>
      <c r="B82" s="10" t="s">
        <v>80</v>
      </c>
      <c r="C82" s="11">
        <v>41255.68</v>
      </c>
      <c r="D82" s="2"/>
      <c r="E82" s="2"/>
      <c r="F82" s="2"/>
      <c r="G82" s="2"/>
      <c r="H82" s="2"/>
      <c r="I82" s="3"/>
      <c r="J82" s="3"/>
      <c r="K82" s="3"/>
      <c r="L82" s="2"/>
      <c r="M82" s="2"/>
    </row>
    <row r="83" spans="1:13">
      <c r="A83">
        <v>2016</v>
      </c>
      <c r="B83" s="10" t="s">
        <v>81</v>
      </c>
      <c r="C83" s="11">
        <v>66335.199999999997</v>
      </c>
      <c r="D83" s="2"/>
      <c r="E83" s="2"/>
      <c r="F83" s="2"/>
      <c r="G83" s="2"/>
      <c r="H83" s="2"/>
      <c r="I83" s="3"/>
      <c r="J83" s="3"/>
      <c r="K83" s="3"/>
      <c r="L83" s="2"/>
      <c r="M83" s="2"/>
    </row>
    <row r="84" spans="1:13">
      <c r="A84">
        <v>2016</v>
      </c>
      <c r="B84" s="10" t="s">
        <v>82</v>
      </c>
      <c r="D84" s="1"/>
      <c r="E84" s="1"/>
      <c r="F84" s="1"/>
      <c r="G84" s="2"/>
      <c r="H84" s="2"/>
      <c r="I84" s="3"/>
      <c r="J84" s="3"/>
      <c r="K84" s="3"/>
      <c r="L84" s="1"/>
      <c r="M84" s="1"/>
    </row>
    <row r="85" spans="1:13">
      <c r="A85">
        <v>2016</v>
      </c>
      <c r="B85" s="10" t="s">
        <v>83</v>
      </c>
      <c r="C85" s="11">
        <v>149189.91</v>
      </c>
      <c r="D85" s="2"/>
      <c r="E85" s="2"/>
      <c r="F85" s="2"/>
      <c r="G85" s="2"/>
      <c r="H85" s="2"/>
      <c r="I85" s="3"/>
      <c r="J85" s="3"/>
      <c r="K85" s="3"/>
      <c r="L85" s="2"/>
      <c r="M85" s="2"/>
    </row>
    <row r="86" spans="1:13">
      <c r="A86">
        <v>2016</v>
      </c>
      <c r="B86" s="10" t="s">
        <v>84</v>
      </c>
      <c r="C86" s="11">
        <v>42212.9</v>
      </c>
      <c r="D86" s="2"/>
      <c r="E86" s="2"/>
      <c r="F86" s="2"/>
      <c r="G86" s="2"/>
      <c r="H86" s="2"/>
      <c r="I86" s="4"/>
      <c r="J86" s="4"/>
      <c r="K86" s="4"/>
      <c r="L86" s="2"/>
      <c r="M86" s="2"/>
    </row>
    <row r="87" spans="1:13">
      <c r="A87">
        <v>2016</v>
      </c>
      <c r="B87" s="10" t="s">
        <v>85</v>
      </c>
      <c r="C87" s="11">
        <v>77454.45</v>
      </c>
      <c r="D87" s="2"/>
      <c r="E87" s="2"/>
      <c r="F87" s="2"/>
      <c r="G87" s="2"/>
      <c r="H87" s="2"/>
      <c r="I87" s="3"/>
      <c r="J87" s="3"/>
      <c r="K87" s="3"/>
      <c r="L87" s="2"/>
      <c r="M87" s="2"/>
    </row>
    <row r="88" spans="1:13">
      <c r="A88">
        <v>2016</v>
      </c>
      <c r="B88" s="10" t="s">
        <v>86</v>
      </c>
      <c r="C88" s="11">
        <v>90139.67</v>
      </c>
      <c r="D88" s="2"/>
      <c r="E88" s="2"/>
      <c r="F88" s="2"/>
      <c r="G88" s="2"/>
      <c r="H88" s="2"/>
      <c r="I88" s="3"/>
      <c r="J88" s="3"/>
      <c r="K88" s="3"/>
      <c r="L88" s="2"/>
      <c r="M88" s="2"/>
    </row>
    <row r="89" spans="1:13">
      <c r="A89">
        <v>2016</v>
      </c>
      <c r="B89" s="10" t="s">
        <v>87</v>
      </c>
      <c r="C89" s="11">
        <v>91612.91</v>
      </c>
      <c r="D89" s="2"/>
      <c r="E89" s="2"/>
      <c r="F89" s="2"/>
      <c r="G89" s="2"/>
      <c r="H89" s="2"/>
      <c r="I89" s="3"/>
      <c r="J89" s="3"/>
      <c r="K89" s="3"/>
      <c r="L89" s="2"/>
      <c r="M89" s="2"/>
    </row>
    <row r="90" spans="1:13">
      <c r="A90">
        <v>2016</v>
      </c>
      <c r="B90" s="10" t="s">
        <v>88</v>
      </c>
      <c r="C90" s="11">
        <v>65108.02</v>
      </c>
      <c r="D90" s="2"/>
      <c r="E90" s="2"/>
      <c r="F90" s="2"/>
      <c r="G90" s="2"/>
      <c r="H90" s="2"/>
      <c r="I90" s="3"/>
      <c r="J90" s="3"/>
      <c r="K90" s="3"/>
      <c r="L90" s="2"/>
      <c r="M90" s="2"/>
    </row>
    <row r="91" spans="1:13">
      <c r="A91">
        <v>2016</v>
      </c>
      <c r="B91" s="10" t="s">
        <v>89</v>
      </c>
      <c r="C91" s="11">
        <v>263960.57</v>
      </c>
      <c r="D91" s="2"/>
      <c r="E91" s="2"/>
      <c r="F91" s="2"/>
      <c r="G91" s="2"/>
      <c r="H91" s="2"/>
      <c r="I91" s="4"/>
      <c r="J91" s="4"/>
      <c r="K91" s="4"/>
      <c r="L91" s="2"/>
      <c r="M91" s="2"/>
    </row>
    <row r="92" spans="1:13">
      <c r="A92">
        <v>2016</v>
      </c>
      <c r="B92" s="10" t="s">
        <v>90</v>
      </c>
      <c r="C92" s="11">
        <v>349495.35</v>
      </c>
      <c r="D92" s="2"/>
      <c r="E92" s="2"/>
      <c r="F92" s="2"/>
      <c r="G92" s="2"/>
      <c r="H92" s="2"/>
      <c r="I92" s="3"/>
      <c r="J92" s="3"/>
      <c r="K92" s="3"/>
      <c r="L92" s="2"/>
      <c r="M92" s="2"/>
    </row>
    <row r="93" spans="1:13">
      <c r="A93">
        <v>2016</v>
      </c>
      <c r="B93" s="10" t="s">
        <v>91</v>
      </c>
      <c r="C93" s="11">
        <v>73650.66</v>
      </c>
      <c r="D93" s="2"/>
      <c r="E93" s="2"/>
      <c r="F93" s="2"/>
      <c r="G93" s="2"/>
      <c r="H93" s="2"/>
      <c r="I93" s="3"/>
      <c r="J93" s="3"/>
      <c r="K93" s="3"/>
      <c r="L93" s="2"/>
      <c r="M93" s="2"/>
    </row>
    <row r="94" spans="1:13">
      <c r="A94">
        <v>2016</v>
      </c>
      <c r="B94" s="10" t="s">
        <v>92</v>
      </c>
      <c r="C94" s="11">
        <v>254826.27</v>
      </c>
      <c r="D94" s="2"/>
      <c r="E94" s="2"/>
      <c r="F94" s="2"/>
      <c r="G94" s="2"/>
      <c r="H94" s="2"/>
      <c r="I94" s="3"/>
      <c r="J94" s="3"/>
      <c r="K94" s="3"/>
      <c r="L94" s="2"/>
      <c r="M94" s="2"/>
    </row>
    <row r="95" spans="1:13">
      <c r="A95">
        <v>2016</v>
      </c>
      <c r="B95" s="10" t="s">
        <v>93</v>
      </c>
      <c r="C95" s="11">
        <v>111576.68</v>
      </c>
      <c r="D95" s="2"/>
      <c r="E95" s="2"/>
      <c r="F95" s="2"/>
      <c r="G95" s="2"/>
      <c r="H95" s="2"/>
      <c r="I95" s="3"/>
      <c r="J95" s="3"/>
      <c r="K95" s="3"/>
      <c r="L95" s="2"/>
      <c r="M95" s="2"/>
    </row>
    <row r="96" spans="1:13">
      <c r="A96">
        <v>2016</v>
      </c>
      <c r="B96" s="10" t="s">
        <v>94</v>
      </c>
      <c r="C96" s="11">
        <v>44534.68</v>
      </c>
      <c r="D96" s="2"/>
      <c r="E96" s="2"/>
      <c r="F96" s="2"/>
      <c r="G96" s="2"/>
      <c r="H96" s="2"/>
      <c r="I96" s="4"/>
      <c r="J96" s="4"/>
      <c r="K96" s="4"/>
      <c r="L96" s="2"/>
      <c r="M96" s="2"/>
    </row>
    <row r="97" spans="1:13">
      <c r="A97">
        <v>2016</v>
      </c>
      <c r="B97" s="10" t="s">
        <v>95</v>
      </c>
      <c r="C97" s="11">
        <v>1225130.3600000001</v>
      </c>
      <c r="D97" s="2"/>
      <c r="E97" s="2"/>
      <c r="F97" s="2"/>
      <c r="G97" s="2"/>
      <c r="H97" s="2"/>
      <c r="I97" s="3"/>
      <c r="J97" s="3"/>
      <c r="K97" s="3"/>
      <c r="L97" s="2"/>
      <c r="M97" s="2"/>
    </row>
    <row r="98" spans="1:13">
      <c r="A98">
        <v>2016</v>
      </c>
      <c r="B98" s="10" t="s">
        <v>96</v>
      </c>
      <c r="C98" s="11">
        <v>99470.63</v>
      </c>
      <c r="D98" s="2"/>
      <c r="E98" s="2"/>
      <c r="F98" s="2"/>
      <c r="G98" s="2"/>
      <c r="H98" s="2"/>
      <c r="I98" s="3"/>
      <c r="J98" s="3"/>
      <c r="K98" s="3"/>
      <c r="L98" s="2"/>
      <c r="M98" s="2"/>
    </row>
    <row r="99" spans="1:13">
      <c r="A99">
        <v>2016</v>
      </c>
      <c r="B99" s="10" t="s">
        <v>97</v>
      </c>
      <c r="C99" s="11">
        <v>65012.33</v>
      </c>
      <c r="D99" s="2"/>
      <c r="E99" s="2"/>
      <c r="F99" s="2"/>
      <c r="G99" s="2"/>
      <c r="H99" s="2"/>
      <c r="I99" s="3"/>
      <c r="J99" s="3"/>
      <c r="K99" s="3"/>
      <c r="L99" s="2"/>
      <c r="M99" s="2"/>
    </row>
    <row r="100" spans="1:13">
      <c r="A100">
        <v>2016</v>
      </c>
      <c r="B100" s="10" t="s">
        <v>98</v>
      </c>
      <c r="C100" s="11">
        <v>796996.56</v>
      </c>
      <c r="D100" s="2"/>
      <c r="E100" s="2"/>
      <c r="F100" s="2"/>
      <c r="G100" s="2"/>
      <c r="H100" s="2"/>
      <c r="I100" s="3"/>
      <c r="J100" s="3"/>
      <c r="K100" s="3"/>
      <c r="L100" s="2"/>
      <c r="M100" s="2"/>
    </row>
    <row r="101" spans="1:13">
      <c r="A101">
        <v>2016</v>
      </c>
      <c r="B101" s="10" t="s">
        <v>99</v>
      </c>
      <c r="C101" s="11">
        <v>105530.06</v>
      </c>
      <c r="D101" s="2"/>
      <c r="E101" s="2"/>
      <c r="F101" s="2"/>
      <c r="G101" s="2"/>
      <c r="H101" s="2"/>
      <c r="I101" s="4"/>
      <c r="J101" s="4"/>
      <c r="K101" s="4"/>
      <c r="L101" s="2"/>
      <c r="M101" s="2"/>
    </row>
    <row r="102" spans="1:13">
      <c r="A102">
        <v>2016</v>
      </c>
      <c r="B102" s="10" t="s">
        <v>100</v>
      </c>
      <c r="C102" s="11">
        <v>527674.65</v>
      </c>
      <c r="D102" s="2"/>
      <c r="E102" s="2"/>
      <c r="F102" s="2"/>
      <c r="G102" s="2"/>
      <c r="H102" s="2"/>
      <c r="I102" s="3"/>
      <c r="J102" s="3"/>
      <c r="K102" s="3"/>
      <c r="L102" s="2"/>
      <c r="M102" s="2"/>
    </row>
    <row r="103" spans="1:13">
      <c r="A103">
        <v>2016</v>
      </c>
      <c r="B103" s="10" t="s">
        <v>101</v>
      </c>
      <c r="C103" s="11">
        <v>75592.899999999994</v>
      </c>
      <c r="D103" s="2"/>
      <c r="E103" s="2"/>
      <c r="F103" s="2"/>
      <c r="G103" s="2"/>
      <c r="H103" s="2"/>
      <c r="I103" s="3"/>
      <c r="J103" s="3"/>
      <c r="K103" s="3"/>
      <c r="L103" s="2"/>
      <c r="M103" s="2"/>
    </row>
    <row r="104" spans="1:13">
      <c r="A104">
        <v>2016</v>
      </c>
      <c r="B104" s="10" t="s">
        <v>102</v>
      </c>
      <c r="C104" s="11">
        <v>65359.87</v>
      </c>
      <c r="D104" s="2"/>
      <c r="E104" s="2"/>
      <c r="F104" s="2"/>
      <c r="G104" s="2"/>
      <c r="H104" s="2"/>
      <c r="I104" s="3"/>
      <c r="J104" s="3"/>
      <c r="K104" s="3"/>
      <c r="L104" s="2"/>
      <c r="M104" s="2"/>
    </row>
    <row r="105" spans="1:13">
      <c r="A105">
        <v>2016</v>
      </c>
      <c r="B105" s="10" t="s">
        <v>103</v>
      </c>
      <c r="C105" s="11">
        <v>39757.449999999997</v>
      </c>
      <c r="D105" s="2"/>
      <c r="E105" s="2"/>
      <c r="F105" s="2"/>
      <c r="G105" s="2"/>
      <c r="H105" s="2"/>
      <c r="I105" s="3"/>
      <c r="J105" s="3"/>
      <c r="K105" s="3"/>
      <c r="L105" s="2"/>
      <c r="M105" s="2"/>
    </row>
    <row r="106" spans="1:13">
      <c r="A106">
        <v>2016</v>
      </c>
      <c r="B106" s="10" t="s">
        <v>104</v>
      </c>
      <c r="C106" s="11">
        <v>97887.679999999993</v>
      </c>
      <c r="D106" s="2"/>
      <c r="E106" s="2"/>
      <c r="F106" s="2"/>
      <c r="G106" s="2"/>
      <c r="H106" s="2"/>
      <c r="I106" s="4"/>
      <c r="J106" s="4"/>
      <c r="K106" s="4"/>
      <c r="L106" s="2"/>
      <c r="M106" s="2"/>
    </row>
    <row r="107" spans="1:13">
      <c r="A107">
        <v>2016</v>
      </c>
      <c r="B107" s="10" t="s">
        <v>105</v>
      </c>
      <c r="C107" s="11">
        <v>63426.97</v>
      </c>
      <c r="D107" s="2"/>
      <c r="E107" s="2"/>
      <c r="F107" s="2"/>
      <c r="G107" s="2"/>
      <c r="H107" s="2"/>
      <c r="I107" s="3"/>
      <c r="J107" s="3"/>
      <c r="K107" s="3"/>
      <c r="L107" s="2"/>
      <c r="M107" s="2"/>
    </row>
    <row r="108" spans="1:13">
      <c r="A108">
        <v>2016</v>
      </c>
      <c r="B108" s="10" t="s">
        <v>106</v>
      </c>
      <c r="C108" s="11">
        <v>238104.46</v>
      </c>
      <c r="D108" s="2"/>
      <c r="E108" s="2"/>
      <c r="F108" s="2"/>
      <c r="G108" s="2"/>
      <c r="H108" s="2"/>
      <c r="I108" s="3"/>
      <c r="J108" s="3"/>
      <c r="K108" s="3"/>
      <c r="L108" s="2"/>
      <c r="M108" s="2"/>
    </row>
    <row r="109" spans="1:13">
      <c r="A109">
        <v>2016</v>
      </c>
      <c r="B109" s="10" t="s">
        <v>107</v>
      </c>
      <c r="C109" s="11">
        <v>81772.070000000007</v>
      </c>
      <c r="D109" s="2"/>
      <c r="E109" s="2"/>
      <c r="F109" s="2"/>
      <c r="G109" s="2"/>
      <c r="H109" s="2"/>
      <c r="I109" s="3"/>
      <c r="J109" s="3"/>
      <c r="K109" s="3"/>
      <c r="L109" s="2"/>
      <c r="M109" s="2"/>
    </row>
    <row r="110" spans="1:13">
      <c r="A110">
        <v>2016</v>
      </c>
      <c r="B110" s="10" t="s">
        <v>108</v>
      </c>
      <c r="D110" s="1"/>
      <c r="E110" s="1"/>
      <c r="F110" s="1"/>
      <c r="G110" s="1"/>
      <c r="H110" s="2"/>
      <c r="I110" s="3"/>
      <c r="J110" s="3"/>
      <c r="K110" s="3"/>
      <c r="L110" s="1"/>
      <c r="M110" s="1"/>
    </row>
    <row r="111" spans="1:13">
      <c r="A111">
        <v>2016</v>
      </c>
      <c r="B111" s="10" t="s">
        <v>109</v>
      </c>
      <c r="C111" s="11">
        <v>45997.48</v>
      </c>
      <c r="D111" s="2"/>
      <c r="E111" s="2"/>
      <c r="F111" s="2"/>
      <c r="G111" s="2"/>
      <c r="H111" s="2"/>
      <c r="I111" s="4"/>
      <c r="J111" s="4"/>
      <c r="K111" s="4"/>
      <c r="L111" s="2"/>
      <c r="M111" s="2"/>
    </row>
    <row r="112" spans="1:13">
      <c r="A112">
        <v>2016</v>
      </c>
      <c r="B112" s="10" t="s">
        <v>110</v>
      </c>
      <c r="C112" s="11">
        <v>356888.62</v>
      </c>
      <c r="D112" s="2"/>
      <c r="E112" s="2"/>
      <c r="F112" s="2"/>
      <c r="G112" s="2"/>
      <c r="H112" s="2"/>
      <c r="I112" s="3"/>
      <c r="J112" s="3"/>
      <c r="K112" s="3"/>
      <c r="L112" s="2"/>
      <c r="M112" s="2"/>
    </row>
    <row r="113" spans="1:13">
      <c r="A113">
        <v>2016</v>
      </c>
      <c r="B113" s="10" t="s">
        <v>111</v>
      </c>
      <c r="C113" s="11">
        <v>272807.71000000002</v>
      </c>
      <c r="D113" s="2"/>
      <c r="E113" s="2"/>
      <c r="F113" s="2"/>
      <c r="G113" s="2"/>
      <c r="H113" s="2"/>
      <c r="I113" s="3"/>
      <c r="J113" s="3"/>
      <c r="K113" s="3"/>
      <c r="L113" s="2"/>
      <c r="M113" s="2"/>
    </row>
    <row r="114" spans="1:13">
      <c r="A114">
        <v>2016</v>
      </c>
      <c r="B114" s="10" t="s">
        <v>112</v>
      </c>
      <c r="C114" s="11">
        <v>69035.72</v>
      </c>
      <c r="D114" s="2"/>
      <c r="E114" s="2"/>
      <c r="F114" s="2"/>
      <c r="G114" s="2"/>
      <c r="H114" s="2"/>
      <c r="I114" s="3"/>
      <c r="J114" s="3"/>
      <c r="K114" s="3"/>
      <c r="L114" s="2"/>
      <c r="M114" s="2"/>
    </row>
    <row r="115" spans="1:13">
      <c r="A115">
        <v>2016</v>
      </c>
      <c r="B115" s="10" t="s">
        <v>113</v>
      </c>
      <c r="C115" s="11">
        <v>63000.98</v>
      </c>
      <c r="D115" s="2"/>
      <c r="E115" s="2"/>
      <c r="F115" s="2"/>
      <c r="G115" s="2"/>
      <c r="H115" s="2"/>
      <c r="I115" s="3"/>
      <c r="J115" s="3"/>
      <c r="K115" s="3"/>
      <c r="L115" s="2"/>
      <c r="M115" s="2"/>
    </row>
    <row r="116" spans="1:13">
      <c r="A116">
        <v>2016</v>
      </c>
      <c r="B116" s="10" t="s">
        <v>114</v>
      </c>
      <c r="C116" s="11">
        <v>70343.33</v>
      </c>
      <c r="D116" s="2"/>
      <c r="E116" s="2"/>
      <c r="F116" s="2"/>
      <c r="G116" s="2"/>
      <c r="H116" s="2"/>
      <c r="I116" s="4"/>
      <c r="J116" s="4"/>
      <c r="K116" s="4"/>
      <c r="L116" s="2"/>
      <c r="M116" s="2"/>
    </row>
    <row r="117" spans="1:13">
      <c r="A117">
        <v>2016</v>
      </c>
      <c r="B117" s="10" t="s">
        <v>115</v>
      </c>
      <c r="C117" s="11">
        <v>162721.96</v>
      </c>
      <c r="D117" s="2"/>
      <c r="E117" s="2"/>
      <c r="F117" s="2"/>
      <c r="G117" s="2"/>
      <c r="H117" s="2"/>
      <c r="I117" s="3"/>
      <c r="J117" s="3"/>
      <c r="K117" s="3"/>
      <c r="L117" s="2"/>
      <c r="M117" s="2"/>
    </row>
    <row r="118" spans="1:13">
      <c r="A118">
        <v>2016</v>
      </c>
      <c r="B118" s="10" t="s">
        <v>116</v>
      </c>
      <c r="C118" s="11">
        <v>46819.93</v>
      </c>
      <c r="D118" s="2"/>
      <c r="E118" s="2"/>
      <c r="F118" s="2"/>
      <c r="G118" s="2"/>
      <c r="H118" s="2"/>
      <c r="I118" s="3"/>
      <c r="J118" s="3"/>
      <c r="K118" s="3"/>
      <c r="L118" s="2"/>
      <c r="M118" s="2"/>
    </row>
    <row r="119" spans="1:13">
      <c r="A119">
        <v>2016</v>
      </c>
      <c r="B119" s="10" t="s">
        <v>117</v>
      </c>
      <c r="C119" s="11">
        <v>163984.63</v>
      </c>
      <c r="D119" s="2"/>
      <c r="E119" s="2"/>
      <c r="F119" s="2"/>
      <c r="G119" s="2"/>
      <c r="H119" s="2"/>
      <c r="I119" s="4"/>
      <c r="J119" s="4"/>
      <c r="K119" s="4"/>
      <c r="L119" s="2"/>
      <c r="M119" s="2"/>
    </row>
    <row r="120" spans="1:13">
      <c r="A120">
        <v>2016</v>
      </c>
      <c r="B120" s="10" t="s">
        <v>118</v>
      </c>
      <c r="D120" s="1"/>
      <c r="E120" s="1"/>
      <c r="F120"/>
      <c r="G120"/>
      <c r="H120"/>
      <c r="I120"/>
      <c r="J120"/>
      <c r="K120"/>
      <c r="L120"/>
      <c r="M120"/>
    </row>
    <row r="121" spans="1:13">
      <c r="A121">
        <v>2016</v>
      </c>
      <c r="B121" s="10" t="s">
        <v>119</v>
      </c>
      <c r="C121" s="11">
        <v>271249.88</v>
      </c>
      <c r="D121" s="2"/>
      <c r="E121" s="2"/>
      <c r="F121" s="2"/>
      <c r="G121" s="2"/>
      <c r="H121" s="2"/>
      <c r="I121" s="2"/>
      <c r="J121" s="2"/>
      <c r="K121"/>
      <c r="L121"/>
      <c r="M121"/>
    </row>
    <row r="122" spans="1:13">
      <c r="A122">
        <v>2016</v>
      </c>
      <c r="B122" s="10" t="s">
        <v>120</v>
      </c>
      <c r="C122" s="11">
        <v>153465.09</v>
      </c>
      <c r="D122" s="2"/>
      <c r="E122" s="2"/>
      <c r="F122" s="2"/>
      <c r="G122" s="2"/>
      <c r="H122" s="2"/>
      <c r="I122" s="2"/>
      <c r="J122" s="2"/>
      <c r="K122"/>
      <c r="L122"/>
      <c r="M122"/>
    </row>
    <row r="123" spans="1:13">
      <c r="A123">
        <v>2016</v>
      </c>
      <c r="B123" s="10" t="s">
        <v>121</v>
      </c>
      <c r="C123" s="11">
        <v>231911.15</v>
      </c>
      <c r="D123" s="2"/>
      <c r="E123" s="2"/>
      <c r="F123" s="2"/>
      <c r="G123" s="2"/>
      <c r="H123" s="2"/>
      <c r="I123" s="2"/>
      <c r="J123" s="2"/>
      <c r="K123"/>
      <c r="L123"/>
      <c r="M123"/>
    </row>
    <row r="124" spans="1:13">
      <c r="A124">
        <v>2016</v>
      </c>
      <c r="B124" s="10" t="s">
        <v>298</v>
      </c>
      <c r="C124" s="11">
        <v>60087.47</v>
      </c>
      <c r="D124" s="2"/>
      <c r="E124" s="2"/>
      <c r="F124" s="2"/>
      <c r="G124" s="2"/>
      <c r="H124" s="2"/>
      <c r="I124" s="2"/>
      <c r="J124" s="2"/>
      <c r="K124"/>
      <c r="L124"/>
      <c r="M124"/>
    </row>
    <row r="125" spans="1:13">
      <c r="A125">
        <v>2016</v>
      </c>
      <c r="B125" s="10" t="s">
        <v>122</v>
      </c>
      <c r="C125" s="11">
        <v>133906.25</v>
      </c>
      <c r="D125" s="2"/>
      <c r="E125" s="2"/>
      <c r="F125" s="2"/>
      <c r="G125" s="2"/>
      <c r="H125" s="2"/>
      <c r="I125" s="2"/>
      <c r="J125" s="2"/>
      <c r="K125"/>
      <c r="L125"/>
      <c r="M125"/>
    </row>
    <row r="126" spans="1:13">
      <c r="A126">
        <v>2016</v>
      </c>
      <c r="B126" s="10" t="s">
        <v>123</v>
      </c>
      <c r="C126" s="11">
        <v>164334.48000000001</v>
      </c>
      <c r="D126" s="2"/>
      <c r="E126" s="2"/>
      <c r="F126" s="2"/>
      <c r="G126" s="2"/>
      <c r="H126" s="2"/>
      <c r="I126" s="2"/>
      <c r="J126" s="2"/>
      <c r="K126"/>
      <c r="L126"/>
      <c r="M126"/>
    </row>
    <row r="127" spans="1:13">
      <c r="A127">
        <v>2016</v>
      </c>
      <c r="B127" s="10" t="s">
        <v>124</v>
      </c>
      <c r="C127" s="11">
        <v>39790.839999999997</v>
      </c>
      <c r="D127" s="2"/>
      <c r="E127" s="2"/>
      <c r="F127" s="2"/>
      <c r="G127" s="2"/>
      <c r="H127" s="2"/>
      <c r="I127" s="2"/>
      <c r="J127" s="2"/>
      <c r="K127"/>
      <c r="L127"/>
      <c r="M127"/>
    </row>
    <row r="128" spans="1:13">
      <c r="A128">
        <v>2016</v>
      </c>
      <c r="B128" s="10" t="s">
        <v>125</v>
      </c>
      <c r="C128" s="11">
        <v>39317.18</v>
      </c>
      <c r="D128" s="2"/>
      <c r="E128" s="2"/>
      <c r="F128" s="2"/>
      <c r="G128" s="2"/>
      <c r="H128" s="2"/>
      <c r="I128" s="2"/>
      <c r="J128" s="2"/>
      <c r="K128"/>
      <c r="L128"/>
      <c r="M128"/>
    </row>
    <row r="129" spans="1:13">
      <c r="A129">
        <v>2016</v>
      </c>
      <c r="B129" s="10" t="s">
        <v>126</v>
      </c>
      <c r="C129" s="11">
        <v>231231.83</v>
      </c>
      <c r="D129" s="2"/>
      <c r="E129" s="2"/>
      <c r="F129" s="2"/>
      <c r="G129" s="2"/>
      <c r="H129" s="2"/>
      <c r="I129" s="2"/>
      <c r="J129" s="2"/>
      <c r="K129"/>
      <c r="L129"/>
      <c r="M129"/>
    </row>
    <row r="130" spans="1:13">
      <c r="A130">
        <v>2016</v>
      </c>
      <c r="B130" s="10" t="s">
        <v>127</v>
      </c>
      <c r="D130" s="1"/>
      <c r="E130" s="1"/>
      <c r="F130" s="1"/>
      <c r="G130" s="2"/>
      <c r="H130" s="2"/>
      <c r="I130" s="1"/>
      <c r="J130" s="1"/>
      <c r="K130"/>
      <c r="L130"/>
      <c r="M130"/>
    </row>
    <row r="131" spans="1:13">
      <c r="A131">
        <v>2016</v>
      </c>
      <c r="B131" s="10" t="s">
        <v>128</v>
      </c>
      <c r="C131" s="11">
        <v>34963.339999999997</v>
      </c>
      <c r="D131" s="2"/>
      <c r="E131" s="2"/>
      <c r="F131" s="2"/>
      <c r="G131" s="2"/>
      <c r="H131" s="2"/>
      <c r="I131" s="2"/>
      <c r="J131" s="2"/>
      <c r="K131"/>
      <c r="L131"/>
      <c r="M131"/>
    </row>
    <row r="132" spans="1:13">
      <c r="A132">
        <v>2016</v>
      </c>
      <c r="B132" s="10" t="s">
        <v>129</v>
      </c>
      <c r="C132" s="11">
        <v>104036.13</v>
      </c>
      <c r="D132" s="2"/>
      <c r="E132" s="2"/>
      <c r="F132" s="2"/>
      <c r="G132" s="2"/>
      <c r="H132" s="2"/>
      <c r="I132" s="2"/>
      <c r="J132" s="2"/>
      <c r="K132"/>
      <c r="L132"/>
      <c r="M132"/>
    </row>
    <row r="133" spans="1:13">
      <c r="A133">
        <v>2016</v>
      </c>
      <c r="B133" s="10" t="s">
        <v>130</v>
      </c>
      <c r="C133" s="11">
        <v>342440.74</v>
      </c>
      <c r="D133" s="2"/>
      <c r="E133" s="2"/>
      <c r="F133" s="2"/>
      <c r="G133" s="2"/>
      <c r="H133" s="2"/>
      <c r="I133" s="2"/>
      <c r="J133" s="2"/>
      <c r="K133"/>
      <c r="L133"/>
      <c r="M133"/>
    </row>
    <row r="134" spans="1:13">
      <c r="A134">
        <v>2016</v>
      </c>
      <c r="B134" s="10" t="s">
        <v>131</v>
      </c>
      <c r="C134" s="11">
        <v>33696.49</v>
      </c>
      <c r="D134" s="2"/>
      <c r="E134" s="2"/>
      <c r="F134" s="2"/>
      <c r="G134" s="2"/>
      <c r="H134" s="2"/>
      <c r="I134" s="2"/>
      <c r="J134" s="2"/>
      <c r="K134"/>
      <c r="L134"/>
      <c r="M134"/>
    </row>
    <row r="135" spans="1:13">
      <c r="A135">
        <v>2016</v>
      </c>
      <c r="B135" s="10" t="s">
        <v>132</v>
      </c>
      <c r="C135" s="11">
        <v>227563.02</v>
      </c>
      <c r="D135" s="2"/>
      <c r="E135" s="2"/>
      <c r="F135" s="2"/>
      <c r="G135" s="2"/>
      <c r="H135" s="2"/>
      <c r="I135" s="2"/>
      <c r="J135" s="2"/>
      <c r="K135"/>
      <c r="L135"/>
      <c r="M135"/>
    </row>
    <row r="136" spans="1:13">
      <c r="A136">
        <v>2016</v>
      </c>
      <c r="B136" s="10" t="s">
        <v>133</v>
      </c>
      <c r="C136" s="11">
        <v>1917958.32</v>
      </c>
      <c r="D136" s="2"/>
      <c r="E136" s="2"/>
      <c r="F136" s="2"/>
      <c r="G136" s="2"/>
      <c r="H136" s="2"/>
      <c r="I136" s="2"/>
      <c r="J136" s="2"/>
      <c r="K136"/>
      <c r="L136"/>
      <c r="M136"/>
    </row>
    <row r="137" spans="1:13">
      <c r="A137">
        <v>2016</v>
      </c>
      <c r="B137" s="10" t="s">
        <v>134</v>
      </c>
      <c r="C137" s="11">
        <v>265095.99</v>
      </c>
      <c r="D137" s="2"/>
      <c r="E137" s="2"/>
      <c r="F137" s="2"/>
      <c r="G137" s="2"/>
      <c r="H137" s="2"/>
      <c r="I137" s="2"/>
      <c r="J137" s="2"/>
      <c r="K137"/>
      <c r="L137"/>
      <c r="M137"/>
    </row>
    <row r="138" spans="1:13">
      <c r="A138">
        <v>2016</v>
      </c>
      <c r="B138" s="10" t="s">
        <v>135</v>
      </c>
      <c r="C138" s="11">
        <v>474759.31</v>
      </c>
      <c r="D138" s="2"/>
      <c r="E138" s="2"/>
      <c r="F138" s="2"/>
      <c r="G138" s="2"/>
      <c r="H138" s="2"/>
      <c r="I138" s="2"/>
      <c r="J138" s="2"/>
      <c r="K138"/>
      <c r="L138"/>
      <c r="M138"/>
    </row>
    <row r="139" spans="1:13">
      <c r="A139">
        <v>2016</v>
      </c>
      <c r="B139" s="10" t="s">
        <v>136</v>
      </c>
      <c r="C139" s="11">
        <v>447101.54</v>
      </c>
      <c r="D139" s="2"/>
      <c r="E139" s="2"/>
      <c r="F139" s="2"/>
      <c r="G139" s="2"/>
      <c r="H139" s="2"/>
      <c r="I139" s="2"/>
      <c r="J139" s="2"/>
      <c r="K139"/>
      <c r="L139"/>
      <c r="M139"/>
    </row>
    <row r="140" spans="1:13">
      <c r="A140">
        <v>2016</v>
      </c>
      <c r="B140" s="10" t="s">
        <v>137</v>
      </c>
      <c r="C140" s="11">
        <v>537227.46</v>
      </c>
      <c r="D140" s="2"/>
      <c r="E140" s="2"/>
      <c r="F140" s="2"/>
      <c r="G140" s="2"/>
      <c r="H140" s="2"/>
      <c r="I140" s="2"/>
      <c r="J140" s="2"/>
      <c r="K140"/>
      <c r="L140"/>
      <c r="M140"/>
    </row>
    <row r="141" spans="1:13">
      <c r="A141">
        <v>2016</v>
      </c>
      <c r="B141" s="10" t="s">
        <v>138</v>
      </c>
      <c r="C141" s="11">
        <v>81432.81</v>
      </c>
      <c r="D141" s="2"/>
      <c r="E141" s="2"/>
      <c r="F141" s="2"/>
      <c r="G141" s="2"/>
      <c r="H141" s="2"/>
      <c r="I141" s="2"/>
      <c r="J141" s="2"/>
      <c r="K141"/>
      <c r="L141"/>
      <c r="M141"/>
    </row>
    <row r="142" spans="1:13">
      <c r="A142">
        <v>2016</v>
      </c>
      <c r="B142" s="10" t="s">
        <v>139</v>
      </c>
      <c r="C142" s="11">
        <v>121017.87</v>
      </c>
      <c r="D142" s="2"/>
      <c r="E142" s="2"/>
      <c r="F142" s="2"/>
      <c r="G142" s="2"/>
      <c r="H142" s="2"/>
      <c r="I142" s="2"/>
      <c r="J142" s="2"/>
      <c r="K142"/>
      <c r="L142"/>
      <c r="M142"/>
    </row>
    <row r="143" spans="1:13">
      <c r="A143">
        <v>2016</v>
      </c>
      <c r="B143" s="10" t="s">
        <v>140</v>
      </c>
      <c r="C143" s="11">
        <v>92868.38</v>
      </c>
      <c r="D143" s="2"/>
      <c r="E143" s="2"/>
      <c r="F143" s="2"/>
      <c r="G143" s="2"/>
      <c r="H143" s="2"/>
      <c r="I143" s="2"/>
      <c r="J143" s="2"/>
      <c r="K143"/>
      <c r="L143"/>
      <c r="M143"/>
    </row>
    <row r="144" spans="1:13">
      <c r="A144">
        <v>2016</v>
      </c>
      <c r="B144" s="10" t="s">
        <v>141</v>
      </c>
      <c r="C144" s="11">
        <v>475270.17</v>
      </c>
      <c r="D144" s="2"/>
      <c r="E144" s="2"/>
      <c r="F144" s="2"/>
      <c r="G144" s="2"/>
      <c r="H144" s="2"/>
      <c r="I144" s="2"/>
      <c r="J144" s="2"/>
      <c r="K144"/>
      <c r="L144"/>
      <c r="M144"/>
    </row>
    <row r="145" spans="1:13">
      <c r="A145">
        <v>2016</v>
      </c>
      <c r="B145" s="10" t="s">
        <v>142</v>
      </c>
      <c r="C145" s="11">
        <v>169050.77</v>
      </c>
      <c r="D145" s="2"/>
      <c r="E145" s="2"/>
      <c r="F145" s="2"/>
      <c r="G145" s="2"/>
      <c r="H145" s="2"/>
      <c r="I145" s="2"/>
      <c r="J145" s="2"/>
      <c r="K145"/>
      <c r="L145"/>
      <c r="M145"/>
    </row>
    <row r="146" spans="1:13">
      <c r="A146">
        <v>2016</v>
      </c>
      <c r="B146" s="10" t="s">
        <v>143</v>
      </c>
      <c r="C146" s="11">
        <v>73693.7</v>
      </c>
      <c r="D146" s="2"/>
      <c r="E146" s="2"/>
      <c r="F146" s="2"/>
      <c r="G146" s="2"/>
      <c r="H146" s="2"/>
      <c r="I146" s="2"/>
      <c r="J146" s="2"/>
      <c r="K146"/>
      <c r="L146"/>
      <c r="M146"/>
    </row>
    <row r="147" spans="1:13">
      <c r="A147">
        <v>2016</v>
      </c>
      <c r="B147" s="10" t="s">
        <v>144</v>
      </c>
      <c r="C147" s="11">
        <v>65908.55</v>
      </c>
      <c r="D147" s="2"/>
      <c r="E147" s="2"/>
      <c r="F147" s="2"/>
      <c r="G147" s="2"/>
      <c r="H147" s="2"/>
      <c r="I147" s="2"/>
      <c r="J147" s="2"/>
      <c r="K147"/>
      <c r="L147"/>
      <c r="M147"/>
    </row>
    <row r="148" spans="1:13">
      <c r="A148">
        <v>2016</v>
      </c>
      <c r="B148" s="10" t="s">
        <v>145</v>
      </c>
      <c r="C148" s="11">
        <v>52051.81</v>
      </c>
      <c r="D148" s="2"/>
      <c r="E148" s="2"/>
      <c r="F148" s="2"/>
      <c r="G148" s="2"/>
      <c r="H148" s="2"/>
      <c r="I148" s="2"/>
      <c r="J148" s="2"/>
      <c r="K148"/>
      <c r="L148"/>
      <c r="M148"/>
    </row>
    <row r="149" spans="1:13">
      <c r="A149">
        <v>2016</v>
      </c>
      <c r="B149" s="10" t="s">
        <v>146</v>
      </c>
      <c r="C149" s="11">
        <v>2302060.62</v>
      </c>
      <c r="D149" s="2"/>
      <c r="E149" s="2"/>
      <c r="F149" s="2"/>
      <c r="G149" s="2"/>
      <c r="H149" s="2"/>
      <c r="I149" s="2"/>
      <c r="J149" s="2"/>
      <c r="K149"/>
      <c r="L149"/>
      <c r="M149"/>
    </row>
    <row r="150" spans="1:13">
      <c r="A150">
        <v>2016</v>
      </c>
      <c r="B150" s="10" t="s">
        <v>147</v>
      </c>
      <c r="C150" s="11">
        <v>101076.1</v>
      </c>
      <c r="D150" s="2"/>
      <c r="E150" s="2"/>
      <c r="F150" s="2"/>
      <c r="G150" s="2"/>
      <c r="H150" s="2"/>
      <c r="I150" s="2"/>
      <c r="J150" s="2"/>
      <c r="K150"/>
      <c r="L150"/>
      <c r="M150"/>
    </row>
    <row r="151" spans="1:13">
      <c r="A151">
        <v>2016</v>
      </c>
      <c r="B151" s="10" t="s">
        <v>148</v>
      </c>
      <c r="C151" s="11">
        <v>1091916.75</v>
      </c>
      <c r="D151" s="2"/>
      <c r="E151" s="2"/>
      <c r="F151" s="2"/>
      <c r="G151" s="2"/>
      <c r="H151" s="2"/>
      <c r="I151" s="2"/>
      <c r="J151" s="2"/>
      <c r="K151"/>
      <c r="L151"/>
      <c r="M151"/>
    </row>
    <row r="152" spans="1:13">
      <c r="A152">
        <v>2016</v>
      </c>
      <c r="B152" s="10" t="s">
        <v>149</v>
      </c>
      <c r="C152" s="11">
        <v>40908.400000000001</v>
      </c>
      <c r="D152" s="2"/>
      <c r="E152" s="2"/>
      <c r="F152" s="2"/>
      <c r="G152" s="2"/>
      <c r="H152" s="2"/>
      <c r="I152" s="2"/>
      <c r="J152" s="2"/>
      <c r="K152"/>
      <c r="L152"/>
      <c r="M152"/>
    </row>
    <row r="153" spans="1:13">
      <c r="A153">
        <v>2016</v>
      </c>
      <c r="B153" s="10" t="s">
        <v>150</v>
      </c>
      <c r="C153" s="11">
        <v>111376.63</v>
      </c>
      <c r="D153" s="2"/>
      <c r="E153" s="2"/>
      <c r="F153" s="2"/>
      <c r="G153" s="2"/>
      <c r="H153" s="2"/>
      <c r="I153" s="2"/>
      <c r="J153" s="2"/>
      <c r="K153"/>
      <c r="L153"/>
      <c r="M153"/>
    </row>
    <row r="154" spans="1:13">
      <c r="A154">
        <v>2016</v>
      </c>
      <c r="B154" s="10" t="s">
        <v>151</v>
      </c>
      <c r="C154" s="11">
        <v>494157.01</v>
      </c>
      <c r="D154" s="2"/>
      <c r="E154" s="2"/>
      <c r="F154" s="2"/>
      <c r="G154" s="2"/>
      <c r="H154" s="2"/>
      <c r="I154" s="2"/>
      <c r="J154" s="2"/>
      <c r="K154"/>
      <c r="L154"/>
      <c r="M154"/>
    </row>
    <row r="155" spans="1:13">
      <c r="A155">
        <v>2016</v>
      </c>
      <c r="B155" s="10" t="s">
        <v>152</v>
      </c>
      <c r="C155" s="11">
        <v>80663.789999999994</v>
      </c>
      <c r="D155" s="2"/>
      <c r="E155" s="2"/>
      <c r="F155" s="2"/>
      <c r="G155" s="2"/>
      <c r="H155" s="2"/>
      <c r="I155" s="2"/>
      <c r="J155" s="2"/>
      <c r="K155"/>
      <c r="L155"/>
      <c r="M155"/>
    </row>
    <row r="156" spans="1:13">
      <c r="A156">
        <v>2016</v>
      </c>
      <c r="B156" s="10" t="s">
        <v>153</v>
      </c>
      <c r="C156" s="11">
        <v>19689.52</v>
      </c>
      <c r="D156" s="2"/>
      <c r="E156" s="2"/>
      <c r="F156" s="2"/>
      <c r="G156" s="2"/>
      <c r="H156" s="2"/>
      <c r="I156" s="4"/>
      <c r="J156" s="4"/>
      <c r="K156" s="4"/>
      <c r="L156" s="2"/>
      <c r="M156" s="2"/>
    </row>
    <row r="157" spans="1:13">
      <c r="A157">
        <v>2016</v>
      </c>
      <c r="B157" s="10" t="s">
        <v>154</v>
      </c>
      <c r="C157" s="11">
        <v>50672.87</v>
      </c>
      <c r="D157" s="2"/>
      <c r="E157" s="2"/>
      <c r="F157" s="2"/>
      <c r="G157" s="2"/>
      <c r="H157" s="2"/>
      <c r="I157" s="3"/>
      <c r="J157" s="3"/>
      <c r="K157" s="3"/>
      <c r="L157" s="2"/>
      <c r="M157" s="2"/>
    </row>
    <row r="158" spans="1:13">
      <c r="A158">
        <v>2016</v>
      </c>
      <c r="B158" s="10" t="s">
        <v>155</v>
      </c>
      <c r="C158" s="11">
        <v>62259.14</v>
      </c>
      <c r="D158" s="2"/>
      <c r="E158" s="2"/>
      <c r="F158" s="2"/>
      <c r="G158" s="2"/>
      <c r="H158" s="2"/>
      <c r="I158" s="3"/>
      <c r="J158" s="3"/>
      <c r="K158" s="3"/>
      <c r="L158" s="2"/>
      <c r="M158" s="2"/>
    </row>
    <row r="159" spans="1:13">
      <c r="A159">
        <v>2016</v>
      </c>
      <c r="B159" s="10" t="s">
        <v>156</v>
      </c>
      <c r="C159" s="11">
        <v>310456.86</v>
      </c>
      <c r="D159" s="2"/>
      <c r="E159" s="2"/>
      <c r="F159" s="2"/>
      <c r="G159" s="2"/>
      <c r="H159" s="2"/>
      <c r="I159" s="3"/>
      <c r="J159" s="3"/>
      <c r="K159" s="3"/>
      <c r="L159" s="2"/>
      <c r="M159" s="2"/>
    </row>
    <row r="160" spans="1:13">
      <c r="A160">
        <v>2016</v>
      </c>
      <c r="B160" s="10" t="s">
        <v>157</v>
      </c>
      <c r="C160" s="11">
        <v>174618.82</v>
      </c>
      <c r="D160" s="2"/>
      <c r="E160" s="2"/>
      <c r="F160" s="2"/>
      <c r="G160" s="2"/>
      <c r="H160" s="2"/>
      <c r="I160" s="3"/>
      <c r="J160" s="3"/>
      <c r="K160" s="3"/>
      <c r="L160" s="2"/>
      <c r="M160" s="2"/>
    </row>
    <row r="161" spans="1:13">
      <c r="A161">
        <v>2016</v>
      </c>
      <c r="B161" s="10" t="s">
        <v>158</v>
      </c>
      <c r="C161" s="11">
        <v>39497.519999999997</v>
      </c>
      <c r="D161" s="2"/>
      <c r="E161" s="2"/>
      <c r="F161" s="2"/>
      <c r="G161" s="2"/>
      <c r="H161" s="2"/>
      <c r="I161" s="4"/>
      <c r="J161" s="4"/>
      <c r="K161" s="4"/>
      <c r="L161" s="2"/>
      <c r="M161" s="2"/>
    </row>
    <row r="162" spans="1:13">
      <c r="A162">
        <v>2016</v>
      </c>
      <c r="B162" s="10" t="s">
        <v>159</v>
      </c>
      <c r="C162" s="11">
        <v>48189.88</v>
      </c>
      <c r="D162" s="2"/>
      <c r="E162" s="2"/>
      <c r="F162" s="2"/>
      <c r="G162" s="2"/>
      <c r="H162" s="2"/>
      <c r="I162" s="3"/>
      <c r="J162" s="3"/>
      <c r="K162" s="3"/>
      <c r="L162" s="2"/>
      <c r="M162" s="2"/>
    </row>
    <row r="163" spans="1:13">
      <c r="A163">
        <v>2016</v>
      </c>
      <c r="B163" s="10" t="s">
        <v>160</v>
      </c>
      <c r="C163" s="11">
        <v>128141.29</v>
      </c>
      <c r="D163" s="2"/>
      <c r="E163" s="2"/>
      <c r="F163" s="2"/>
      <c r="G163" s="2"/>
      <c r="H163" s="2"/>
      <c r="I163" s="3"/>
      <c r="J163" s="3"/>
      <c r="K163" s="3"/>
      <c r="L163" s="2"/>
      <c r="M163" s="2"/>
    </row>
    <row r="164" spans="1:13">
      <c r="A164">
        <v>2016</v>
      </c>
      <c r="B164" s="10" t="s">
        <v>161</v>
      </c>
      <c r="C164" s="11">
        <v>89335.679999999993</v>
      </c>
      <c r="D164" s="2"/>
      <c r="E164" s="2"/>
      <c r="F164" s="2"/>
      <c r="G164" s="2"/>
      <c r="H164" s="2"/>
      <c r="I164" s="3"/>
      <c r="J164" s="3"/>
      <c r="K164" s="3"/>
      <c r="L164" s="2"/>
      <c r="M164" s="2"/>
    </row>
    <row r="165" spans="1:13">
      <c r="A165">
        <v>2016</v>
      </c>
      <c r="B165" s="10" t="s">
        <v>162</v>
      </c>
      <c r="D165" s="1"/>
      <c r="E165" s="1"/>
      <c r="F165" s="1"/>
      <c r="G165" s="2"/>
      <c r="H165" s="2"/>
      <c r="I165" s="3"/>
      <c r="J165" s="3"/>
      <c r="K165" s="3"/>
      <c r="L165" s="1"/>
      <c r="M165" s="1"/>
    </row>
    <row r="166" spans="1:13">
      <c r="A166">
        <v>2016</v>
      </c>
      <c r="B166" s="10" t="s">
        <v>163</v>
      </c>
      <c r="D166" s="1"/>
      <c r="E166" s="1"/>
      <c r="F166" s="1"/>
      <c r="G166" s="1"/>
      <c r="H166" s="2"/>
      <c r="I166" s="4"/>
      <c r="J166" s="4"/>
      <c r="K166" s="4"/>
      <c r="L166" s="1"/>
      <c r="M166" s="1"/>
    </row>
    <row r="167" spans="1:13">
      <c r="A167">
        <v>2016</v>
      </c>
      <c r="B167" s="10" t="s">
        <v>164</v>
      </c>
      <c r="C167" s="11">
        <v>149409.84</v>
      </c>
      <c r="D167" s="2"/>
      <c r="E167" s="2"/>
      <c r="F167" s="2"/>
      <c r="G167" s="2"/>
      <c r="H167" s="2"/>
      <c r="I167" s="3"/>
      <c r="J167" s="3"/>
      <c r="K167" s="3"/>
      <c r="L167" s="2"/>
      <c r="M167" s="2"/>
    </row>
    <row r="168" spans="1:13">
      <c r="A168">
        <v>2016</v>
      </c>
      <c r="B168" s="10" t="s">
        <v>165</v>
      </c>
      <c r="C168" s="11">
        <v>120097.21</v>
      </c>
      <c r="D168" s="2"/>
      <c r="E168" s="2"/>
      <c r="F168" s="2"/>
      <c r="G168" s="2"/>
      <c r="H168" s="2"/>
      <c r="I168" s="3"/>
      <c r="J168" s="3"/>
      <c r="K168" s="3"/>
      <c r="L168" s="2"/>
      <c r="M168" s="2"/>
    </row>
    <row r="169" spans="1:13">
      <c r="A169">
        <v>2016</v>
      </c>
      <c r="B169" s="10" t="s">
        <v>166</v>
      </c>
      <c r="C169" s="11">
        <v>116878.71</v>
      </c>
      <c r="D169" s="2"/>
      <c r="E169" s="2"/>
      <c r="F169" s="2"/>
      <c r="G169" s="2"/>
      <c r="H169" s="2"/>
      <c r="I169" s="3"/>
      <c r="J169" s="3"/>
      <c r="K169" s="3"/>
      <c r="L169" s="2"/>
      <c r="M169" s="2"/>
    </row>
    <row r="170" spans="1:13">
      <c r="A170">
        <v>2016</v>
      </c>
      <c r="B170" s="10" t="s">
        <v>167</v>
      </c>
      <c r="C170" s="11">
        <v>64729.87</v>
      </c>
      <c r="D170" s="2"/>
      <c r="E170" s="2"/>
      <c r="F170" s="2"/>
      <c r="G170" s="2"/>
      <c r="H170" s="2"/>
      <c r="I170" s="3"/>
      <c r="J170" s="3"/>
      <c r="K170" s="3"/>
      <c r="L170" s="2"/>
      <c r="M170" s="2"/>
    </row>
    <row r="171" spans="1:13">
      <c r="A171">
        <v>2016</v>
      </c>
      <c r="B171" s="10" t="s">
        <v>168</v>
      </c>
      <c r="C171" s="11">
        <v>111370.87</v>
      </c>
      <c r="D171" s="2"/>
      <c r="E171" s="2"/>
      <c r="F171" s="2"/>
      <c r="G171" s="2"/>
      <c r="H171" s="2"/>
      <c r="I171" s="4"/>
      <c r="J171" s="4"/>
      <c r="K171" s="4"/>
      <c r="L171" s="2"/>
      <c r="M171" s="2"/>
    </row>
    <row r="172" spans="1:13">
      <c r="A172">
        <v>2016</v>
      </c>
      <c r="B172" s="10" t="s">
        <v>169</v>
      </c>
      <c r="C172" s="11">
        <v>42932.77</v>
      </c>
      <c r="D172" s="2"/>
      <c r="E172" s="2"/>
      <c r="F172" s="2"/>
      <c r="G172" s="2"/>
      <c r="H172" s="2"/>
      <c r="I172" s="3"/>
      <c r="J172" s="3"/>
      <c r="K172" s="3"/>
      <c r="L172" s="2"/>
      <c r="M172" s="2"/>
    </row>
    <row r="173" spans="1:13">
      <c r="A173">
        <v>2016</v>
      </c>
      <c r="B173" s="10" t="s">
        <v>170</v>
      </c>
      <c r="C173" s="11">
        <v>133506.48000000001</v>
      </c>
      <c r="D173" s="2"/>
      <c r="E173" s="2"/>
      <c r="F173" s="2"/>
      <c r="G173" s="2"/>
      <c r="H173" s="2"/>
      <c r="I173" s="3"/>
      <c r="J173" s="3"/>
      <c r="K173" s="3"/>
      <c r="L173" s="2"/>
      <c r="M173" s="2"/>
    </row>
    <row r="174" spans="1:13">
      <c r="A174">
        <v>2016</v>
      </c>
      <c r="B174" s="10" t="s">
        <v>171</v>
      </c>
      <c r="C174" s="11">
        <v>57669.8</v>
      </c>
      <c r="D174" s="2"/>
      <c r="E174" s="2"/>
      <c r="F174" s="2"/>
      <c r="G174" s="2"/>
      <c r="H174" s="2"/>
      <c r="I174" s="3"/>
      <c r="J174" s="3"/>
      <c r="K174" s="3"/>
      <c r="L174" s="2"/>
      <c r="M174" s="2"/>
    </row>
    <row r="175" spans="1:13">
      <c r="A175">
        <v>2016</v>
      </c>
      <c r="B175" s="10" t="s">
        <v>172</v>
      </c>
      <c r="C175" s="11">
        <v>528182.81000000006</v>
      </c>
      <c r="D175" s="2"/>
      <c r="E175" s="2"/>
      <c r="F175" s="2"/>
      <c r="G175" s="2"/>
      <c r="H175" s="2"/>
      <c r="I175" s="3"/>
      <c r="J175" s="3"/>
      <c r="K175" s="3"/>
      <c r="L175" s="2"/>
      <c r="M175" s="2"/>
    </row>
    <row r="176" spans="1:13">
      <c r="A176">
        <v>2016</v>
      </c>
      <c r="B176" s="10" t="s">
        <v>173</v>
      </c>
      <c r="C176" s="11">
        <v>77571.289999999994</v>
      </c>
      <c r="D176" s="2"/>
      <c r="E176" s="2"/>
      <c r="F176" s="2"/>
      <c r="G176" s="2"/>
      <c r="H176" s="2"/>
      <c r="I176" s="4"/>
      <c r="J176" s="4"/>
      <c r="K176" s="4"/>
      <c r="L176" s="2"/>
      <c r="M176" s="2"/>
    </row>
    <row r="177" spans="1:13">
      <c r="A177">
        <v>2016</v>
      </c>
      <c r="B177" s="10" t="s">
        <v>174</v>
      </c>
      <c r="C177" s="11">
        <v>63780.09</v>
      </c>
      <c r="D177" s="2"/>
      <c r="E177" s="2"/>
      <c r="F177" s="2"/>
      <c r="G177" s="2"/>
      <c r="H177" s="2"/>
      <c r="I177" s="3"/>
      <c r="J177" s="3"/>
      <c r="K177" s="3"/>
      <c r="L177" s="2"/>
      <c r="M177" s="2"/>
    </row>
    <row r="178" spans="1:13">
      <c r="A178">
        <v>2016</v>
      </c>
      <c r="B178" s="10" t="s">
        <v>175</v>
      </c>
      <c r="C178" s="11">
        <v>128073.25</v>
      </c>
      <c r="D178" s="2"/>
      <c r="E178" s="2"/>
      <c r="F178" s="2"/>
      <c r="G178" s="2"/>
      <c r="H178" s="2"/>
      <c r="I178" s="3"/>
      <c r="J178" s="3"/>
      <c r="K178" s="3"/>
      <c r="L178" s="2"/>
      <c r="M178" s="2"/>
    </row>
    <row r="179" spans="1:13">
      <c r="A179">
        <v>2016</v>
      </c>
      <c r="B179" s="10" t="s">
        <v>176</v>
      </c>
      <c r="C179" s="11">
        <v>66119.37</v>
      </c>
      <c r="D179" s="2"/>
      <c r="E179" s="2"/>
      <c r="F179" s="2"/>
      <c r="G179" s="2"/>
      <c r="H179" s="2"/>
      <c r="I179" s="3"/>
      <c r="J179" s="3"/>
      <c r="K179" s="3"/>
      <c r="L179" s="2"/>
      <c r="M179" s="2"/>
    </row>
    <row r="180" spans="1:13">
      <c r="A180">
        <v>2016</v>
      </c>
      <c r="B180" s="10" t="s">
        <v>177</v>
      </c>
      <c r="C180" s="11">
        <v>266930.94</v>
      </c>
      <c r="D180" s="2"/>
      <c r="E180" s="2"/>
      <c r="F180" s="2"/>
      <c r="G180" s="2"/>
      <c r="H180" s="2"/>
      <c r="I180" s="3"/>
      <c r="J180" s="3"/>
      <c r="K180" s="3"/>
      <c r="L180" s="2"/>
      <c r="M180" s="2"/>
    </row>
    <row r="181" spans="1:13">
      <c r="A181">
        <v>2016</v>
      </c>
      <c r="B181" s="10" t="s">
        <v>178</v>
      </c>
      <c r="C181" s="11">
        <v>56431.75</v>
      </c>
      <c r="D181" s="2"/>
      <c r="E181" s="2"/>
      <c r="F181" s="2"/>
      <c r="G181" s="2"/>
      <c r="H181" s="2"/>
      <c r="I181" s="4"/>
      <c r="J181" s="4"/>
      <c r="K181" s="4"/>
      <c r="L181" s="2"/>
      <c r="M181" s="2"/>
    </row>
    <row r="182" spans="1:13">
      <c r="A182">
        <v>2016</v>
      </c>
      <c r="B182" s="10" t="s">
        <v>179</v>
      </c>
      <c r="C182" s="11">
        <v>148340.84</v>
      </c>
      <c r="D182" s="2"/>
      <c r="E182" s="2"/>
      <c r="F182" s="2"/>
      <c r="G182" s="2"/>
      <c r="H182" s="2"/>
      <c r="I182" s="3"/>
      <c r="J182" s="3"/>
      <c r="K182" s="3"/>
      <c r="L182" s="2"/>
      <c r="M182" s="2"/>
    </row>
    <row r="183" spans="1:13">
      <c r="A183">
        <v>2016</v>
      </c>
      <c r="B183" s="10" t="s">
        <v>180</v>
      </c>
      <c r="C183" s="11">
        <v>123523.71</v>
      </c>
      <c r="D183" s="2"/>
      <c r="E183" s="2"/>
      <c r="F183" s="2"/>
      <c r="G183" s="2"/>
      <c r="H183" s="2"/>
      <c r="I183" s="3"/>
      <c r="J183" s="3"/>
      <c r="K183" s="3"/>
      <c r="L183" s="2"/>
      <c r="M183" s="2"/>
    </row>
    <row r="184" spans="1:13">
      <c r="A184">
        <v>2016</v>
      </c>
      <c r="B184" s="10" t="s">
        <v>181</v>
      </c>
      <c r="C184" s="11">
        <v>44569.440000000002</v>
      </c>
      <c r="D184" s="2"/>
      <c r="E184" s="2"/>
      <c r="F184" s="2"/>
      <c r="G184" s="2"/>
      <c r="H184" s="2"/>
      <c r="I184" s="3"/>
      <c r="J184" s="3"/>
      <c r="K184" s="3"/>
      <c r="L184" s="2"/>
      <c r="M184" s="2"/>
    </row>
    <row r="185" spans="1:13">
      <c r="A185">
        <v>2016</v>
      </c>
      <c r="B185" s="10" t="s">
        <v>182</v>
      </c>
      <c r="C185" s="11">
        <v>22469.15</v>
      </c>
      <c r="D185" s="2"/>
      <c r="E185" s="2"/>
      <c r="F185" s="2"/>
      <c r="G185" s="2"/>
      <c r="H185" s="2"/>
      <c r="I185" s="3"/>
      <c r="J185" s="3"/>
      <c r="K185" s="3"/>
      <c r="L185" s="2"/>
      <c r="M185" s="2"/>
    </row>
    <row r="186" spans="1:13">
      <c r="A186">
        <v>2016</v>
      </c>
      <c r="B186" s="10" t="s">
        <v>183</v>
      </c>
      <c r="C186" s="11">
        <v>4389</v>
      </c>
      <c r="D186" s="2"/>
      <c r="E186" s="2"/>
      <c r="F186" s="2"/>
      <c r="G186" s="2"/>
      <c r="H186" s="2"/>
      <c r="I186" s="4"/>
      <c r="J186" s="4"/>
      <c r="K186" s="4"/>
      <c r="L186" s="2"/>
      <c r="M186" s="2"/>
    </row>
    <row r="187" spans="1:13">
      <c r="A187">
        <v>2016</v>
      </c>
      <c r="B187" s="10" t="s">
        <v>184</v>
      </c>
      <c r="C187" s="11">
        <v>160613.48000000001</v>
      </c>
      <c r="D187" s="2"/>
      <c r="E187" s="2"/>
      <c r="F187" s="2"/>
      <c r="G187" s="2"/>
      <c r="H187" s="2"/>
      <c r="I187" s="3"/>
      <c r="J187" s="3"/>
      <c r="K187" s="3"/>
      <c r="L187" s="2"/>
      <c r="M187" s="2"/>
    </row>
    <row r="188" spans="1:13">
      <c r="A188">
        <v>2016</v>
      </c>
      <c r="B188" s="10" t="s">
        <v>185</v>
      </c>
      <c r="C188" s="11">
        <v>113800.82</v>
      </c>
      <c r="D188" s="2"/>
      <c r="E188" s="2"/>
      <c r="F188" s="2"/>
      <c r="G188" s="2"/>
      <c r="H188" s="2"/>
      <c r="I188" s="3"/>
      <c r="J188" s="3"/>
      <c r="K188" s="3"/>
      <c r="L188" s="2"/>
      <c r="M188" s="2"/>
    </row>
    <row r="189" spans="1:13">
      <c r="A189">
        <v>2016</v>
      </c>
      <c r="B189" s="10" t="s">
        <v>186</v>
      </c>
      <c r="C189" s="11">
        <v>682540.38</v>
      </c>
      <c r="D189" s="2"/>
      <c r="E189" s="2"/>
      <c r="F189" s="2"/>
      <c r="G189" s="2"/>
      <c r="H189" s="2"/>
      <c r="I189" s="3"/>
      <c r="J189" s="3"/>
      <c r="K189" s="3"/>
      <c r="L189" s="2"/>
      <c r="M189" s="2"/>
    </row>
    <row r="190" spans="1:13">
      <c r="A190">
        <v>2016</v>
      </c>
      <c r="B190" s="10" t="s">
        <v>187</v>
      </c>
      <c r="C190" s="11">
        <v>7764.17</v>
      </c>
      <c r="D190" s="2"/>
      <c r="E190" s="2"/>
      <c r="F190" s="2"/>
      <c r="G190" s="2"/>
      <c r="H190" s="2"/>
      <c r="I190" s="3"/>
      <c r="J190" s="3"/>
      <c r="K190" s="3"/>
      <c r="L190" s="2"/>
      <c r="M190" s="2"/>
    </row>
    <row r="191" spans="1:13">
      <c r="A191">
        <v>2016</v>
      </c>
      <c r="B191" s="10" t="s">
        <v>188</v>
      </c>
      <c r="C191" s="11">
        <v>14223.77</v>
      </c>
      <c r="D191" s="2"/>
      <c r="E191" s="2"/>
      <c r="F191" s="2"/>
      <c r="G191" s="2"/>
      <c r="H191" s="2"/>
      <c r="I191" s="4"/>
      <c r="J191" s="4"/>
      <c r="K191" s="4"/>
      <c r="L191" s="2"/>
      <c r="M191" s="2"/>
    </row>
    <row r="192" spans="1:13">
      <c r="A192">
        <v>2016</v>
      </c>
      <c r="B192" s="10" t="s">
        <v>189</v>
      </c>
      <c r="C192" s="11">
        <v>292791.11</v>
      </c>
      <c r="D192" s="2"/>
      <c r="E192" s="2"/>
      <c r="F192" s="2"/>
      <c r="G192" s="2"/>
      <c r="H192" s="2"/>
      <c r="I192" s="3"/>
      <c r="J192" s="3"/>
      <c r="K192" s="3"/>
      <c r="L192" s="2"/>
      <c r="M192" s="2"/>
    </row>
    <row r="193" spans="1:13">
      <c r="A193">
        <v>2016</v>
      </c>
      <c r="B193" s="10" t="s">
        <v>190</v>
      </c>
      <c r="C193" s="11">
        <v>713924.46</v>
      </c>
      <c r="D193" s="2"/>
      <c r="E193" s="2"/>
      <c r="F193" s="2"/>
      <c r="G193" s="2"/>
      <c r="H193" s="2"/>
      <c r="I193" s="3"/>
      <c r="J193" s="3"/>
      <c r="K193" s="3"/>
      <c r="L193" s="2"/>
      <c r="M193" s="2"/>
    </row>
    <row r="194" spans="1:13">
      <c r="A194">
        <v>2016</v>
      </c>
      <c r="B194" s="10" t="s">
        <v>191</v>
      </c>
      <c r="C194" s="11">
        <v>73162.03</v>
      </c>
      <c r="D194" s="2"/>
      <c r="E194" s="2"/>
      <c r="F194" s="2"/>
      <c r="G194" s="2"/>
      <c r="H194" s="2"/>
      <c r="I194" s="3"/>
      <c r="J194" s="3"/>
      <c r="K194" s="3"/>
      <c r="L194" s="2"/>
      <c r="M194" s="2"/>
    </row>
    <row r="195" spans="1:13">
      <c r="A195">
        <v>2016</v>
      </c>
      <c r="B195" s="10" t="s">
        <v>192</v>
      </c>
      <c r="C195" s="11">
        <v>32385.46</v>
      </c>
      <c r="D195" s="2"/>
      <c r="E195" s="2"/>
      <c r="F195" s="2"/>
      <c r="G195" s="2"/>
      <c r="H195" s="2"/>
      <c r="I195" s="3"/>
      <c r="J195" s="3"/>
      <c r="K195" s="3"/>
      <c r="L195" s="2"/>
      <c r="M195" s="2"/>
    </row>
    <row r="196" spans="1:13">
      <c r="A196">
        <v>2016</v>
      </c>
      <c r="B196" s="10" t="s">
        <v>193</v>
      </c>
      <c r="C196" s="11">
        <v>22566.01</v>
      </c>
      <c r="D196" s="2"/>
      <c r="E196" s="2"/>
      <c r="F196" s="2"/>
      <c r="G196" s="2"/>
      <c r="H196" s="2"/>
      <c r="I196" s="4"/>
      <c r="J196" s="4"/>
      <c r="K196" s="4"/>
      <c r="L196" s="2"/>
      <c r="M196" s="2"/>
    </row>
    <row r="197" spans="1:13">
      <c r="A197">
        <v>2016</v>
      </c>
      <c r="B197" s="10" t="s">
        <v>194</v>
      </c>
      <c r="C197" s="11">
        <v>141209.07</v>
      </c>
      <c r="D197" s="2"/>
      <c r="E197" s="2"/>
      <c r="F197" s="2"/>
      <c r="G197" s="2"/>
      <c r="H197" s="2"/>
      <c r="I197" s="3"/>
      <c r="J197" s="3"/>
      <c r="K197" s="3"/>
      <c r="L197" s="2"/>
      <c r="M197" s="2"/>
    </row>
    <row r="198" spans="1:13">
      <c r="A198">
        <v>2016</v>
      </c>
      <c r="B198" s="10" t="s">
        <v>195</v>
      </c>
      <c r="C198" s="11">
        <v>59490.68</v>
      </c>
      <c r="D198" s="2"/>
      <c r="E198" s="2"/>
      <c r="F198" s="2"/>
      <c r="G198" s="2"/>
      <c r="H198" s="2"/>
      <c r="I198" s="3"/>
      <c r="J198" s="3"/>
      <c r="K198" s="3"/>
      <c r="L198" s="2"/>
      <c r="M198" s="2"/>
    </row>
    <row r="199" spans="1:13">
      <c r="A199">
        <v>2016</v>
      </c>
      <c r="B199" s="10" t="s">
        <v>196</v>
      </c>
      <c r="C199" s="11">
        <v>849598.18</v>
      </c>
      <c r="D199" s="2"/>
      <c r="E199" s="2"/>
      <c r="F199" s="2"/>
      <c r="G199" s="2"/>
      <c r="H199" s="2"/>
      <c r="I199" s="3"/>
      <c r="J199" s="3"/>
      <c r="K199" s="3"/>
      <c r="L199" s="2"/>
      <c r="M199" s="2"/>
    </row>
    <row r="200" spans="1:13">
      <c r="A200">
        <v>2016</v>
      </c>
      <c r="B200" s="10" t="s">
        <v>197</v>
      </c>
      <c r="C200" s="11">
        <v>565982.98</v>
      </c>
      <c r="D200" s="2"/>
      <c r="E200" s="2"/>
      <c r="F200" s="2"/>
      <c r="G200" s="2"/>
      <c r="H200" s="2"/>
      <c r="I200" s="3"/>
      <c r="J200" s="3"/>
      <c r="K200" s="3"/>
      <c r="L200" s="2"/>
      <c r="M200" s="2"/>
    </row>
    <row r="201" spans="1:13">
      <c r="A201">
        <v>2016</v>
      </c>
      <c r="B201" s="10" t="s">
        <v>198</v>
      </c>
      <c r="C201" s="11">
        <v>279331.39</v>
      </c>
      <c r="D201" s="2"/>
      <c r="E201" s="2"/>
      <c r="F201" s="2"/>
      <c r="G201" s="2"/>
      <c r="H201" s="2"/>
      <c r="I201" s="4"/>
      <c r="J201" s="4"/>
      <c r="K201" s="4"/>
      <c r="L201" s="2"/>
      <c r="M201" s="2"/>
    </row>
    <row r="202" spans="1:13">
      <c r="A202">
        <v>2016</v>
      </c>
      <c r="B202" s="10" t="s">
        <v>199</v>
      </c>
      <c r="C202" s="11">
        <v>641485.86</v>
      </c>
      <c r="D202" s="2"/>
      <c r="E202" s="2"/>
      <c r="F202" s="2"/>
      <c r="G202" s="2"/>
      <c r="H202" s="2"/>
      <c r="I202" s="3"/>
      <c r="J202" s="3"/>
      <c r="K202" s="3"/>
      <c r="L202" s="2"/>
      <c r="M202" s="2"/>
    </row>
    <row r="203" spans="1:13">
      <c r="A203">
        <v>2016</v>
      </c>
      <c r="B203" s="10" t="s">
        <v>200</v>
      </c>
      <c r="C203" s="11">
        <v>259644.56</v>
      </c>
      <c r="D203" s="2"/>
      <c r="E203" s="2"/>
      <c r="F203" s="2"/>
      <c r="G203" s="2"/>
      <c r="H203" s="2"/>
      <c r="I203" s="4"/>
      <c r="J203" s="4"/>
      <c r="K203" s="4"/>
      <c r="L203" s="2"/>
      <c r="M203" s="2"/>
    </row>
    <row r="204" spans="1:13">
      <c r="A204">
        <v>2016</v>
      </c>
      <c r="B204" s="10" t="s">
        <v>201</v>
      </c>
      <c r="D204" s="1"/>
      <c r="E204" s="2"/>
      <c r="F204" s="1"/>
      <c r="G204"/>
      <c r="H204"/>
      <c r="I204"/>
      <c r="J204"/>
      <c r="K204"/>
      <c r="L204"/>
      <c r="M204"/>
    </row>
    <row r="205" spans="1:13">
      <c r="A205">
        <v>2016</v>
      </c>
      <c r="B205" s="10" t="s">
        <v>202</v>
      </c>
      <c r="D205" s="1"/>
      <c r="E205" s="2"/>
      <c r="F205" s="1"/>
      <c r="G205"/>
      <c r="H205"/>
      <c r="I205"/>
      <c r="J205"/>
      <c r="K205"/>
      <c r="L205"/>
      <c r="M205"/>
    </row>
    <row r="206" spans="1:13">
      <c r="A206">
        <v>2016</v>
      </c>
      <c r="B206" s="10" t="s">
        <v>203</v>
      </c>
      <c r="D206" s="1"/>
      <c r="E206" s="2"/>
      <c r="F206" s="1"/>
      <c r="G206"/>
      <c r="H206"/>
      <c r="I206"/>
      <c r="J206"/>
      <c r="K206"/>
      <c r="L206"/>
      <c r="M206"/>
    </row>
    <row r="207" spans="1:13">
      <c r="A207">
        <v>2016</v>
      </c>
      <c r="B207" s="10" t="s">
        <v>204</v>
      </c>
      <c r="C207" s="11">
        <v>246220.22</v>
      </c>
      <c r="D207" s="2"/>
      <c r="E207" s="2"/>
      <c r="F207" s="2"/>
      <c r="G207" s="2"/>
      <c r="H207" s="2"/>
      <c r="I207" s="2"/>
      <c r="J207" s="2"/>
      <c r="K207"/>
      <c r="L207"/>
      <c r="M207"/>
    </row>
    <row r="208" spans="1:13">
      <c r="A208">
        <v>2016</v>
      </c>
      <c r="B208" s="10" t="s">
        <v>205</v>
      </c>
      <c r="C208" s="11">
        <v>353639.27</v>
      </c>
      <c r="D208" s="2"/>
      <c r="E208" s="2"/>
      <c r="F208" s="2"/>
      <c r="G208" s="2"/>
      <c r="H208" s="2"/>
      <c r="I208" s="2"/>
      <c r="J208" s="2"/>
      <c r="K208"/>
      <c r="L208"/>
      <c r="M208"/>
    </row>
    <row r="209" spans="1:13">
      <c r="A209">
        <v>2016</v>
      </c>
      <c r="B209" s="10" t="s">
        <v>206</v>
      </c>
      <c r="C209" s="11">
        <v>133740.25</v>
      </c>
      <c r="D209" s="2"/>
      <c r="E209" s="2"/>
      <c r="F209" s="2"/>
      <c r="G209" s="2"/>
      <c r="H209" s="2"/>
      <c r="I209" s="2"/>
      <c r="J209" s="2"/>
      <c r="K209"/>
      <c r="L209"/>
      <c r="M209"/>
    </row>
    <row r="210" spans="1:13">
      <c r="A210">
        <v>2016</v>
      </c>
      <c r="B210" s="10" t="s">
        <v>207</v>
      </c>
      <c r="C210" s="11">
        <v>388128.09</v>
      </c>
      <c r="D210" s="2"/>
      <c r="E210" s="2"/>
      <c r="F210" s="2"/>
      <c r="G210" s="2"/>
      <c r="H210" s="2"/>
      <c r="I210" s="2"/>
      <c r="J210" s="2"/>
      <c r="K210"/>
      <c r="L210"/>
      <c r="M210"/>
    </row>
    <row r="211" spans="1:13">
      <c r="A211">
        <v>2016</v>
      </c>
      <c r="B211" s="10" t="s">
        <v>208</v>
      </c>
      <c r="C211" s="11">
        <v>35207.74</v>
      </c>
      <c r="D211" s="2"/>
      <c r="E211" s="2"/>
      <c r="F211" s="2"/>
      <c r="G211" s="2"/>
      <c r="H211" s="2"/>
      <c r="I211" s="2"/>
      <c r="J211" s="2"/>
      <c r="K211"/>
      <c r="L211"/>
      <c r="M211"/>
    </row>
    <row r="212" spans="1:13">
      <c r="A212">
        <v>2016</v>
      </c>
      <c r="B212" s="10" t="s">
        <v>209</v>
      </c>
      <c r="C212" s="11">
        <v>139052.6</v>
      </c>
      <c r="D212" s="2"/>
      <c r="E212" s="2"/>
      <c r="F212" s="2"/>
      <c r="G212" s="2"/>
      <c r="H212" s="2"/>
      <c r="I212" s="2"/>
      <c r="J212" s="2"/>
      <c r="K212"/>
      <c r="L212"/>
      <c r="M212"/>
    </row>
    <row r="213" spans="1:13">
      <c r="A213">
        <v>2016</v>
      </c>
      <c r="B213" s="10" t="s">
        <v>210</v>
      </c>
      <c r="C213" s="11">
        <v>242414.21</v>
      </c>
      <c r="D213" s="2"/>
      <c r="E213" s="2"/>
      <c r="F213" s="2"/>
      <c r="G213" s="2"/>
      <c r="H213" s="2"/>
      <c r="I213" s="2"/>
      <c r="J213" s="2"/>
      <c r="K213"/>
      <c r="L213"/>
      <c r="M213"/>
    </row>
    <row r="214" spans="1:13">
      <c r="A214">
        <v>2016</v>
      </c>
      <c r="B214" s="10" t="s">
        <v>211</v>
      </c>
      <c r="C214" s="11">
        <v>109359.71</v>
      </c>
      <c r="D214" s="2"/>
      <c r="E214" s="2"/>
      <c r="F214" s="2"/>
      <c r="G214" s="2"/>
      <c r="H214" s="2"/>
      <c r="I214" s="2"/>
      <c r="J214" s="2"/>
      <c r="K214"/>
      <c r="L214"/>
      <c r="M214"/>
    </row>
    <row r="215" spans="1:13">
      <c r="A215">
        <v>2016</v>
      </c>
      <c r="B215" s="10" t="s">
        <v>212</v>
      </c>
      <c r="D215" s="1"/>
      <c r="E215" s="1"/>
      <c r="F215" s="1"/>
      <c r="G215" s="1"/>
      <c r="H215" s="2"/>
      <c r="I215" s="1"/>
      <c r="J215" s="1"/>
      <c r="K215"/>
      <c r="L215"/>
      <c r="M215"/>
    </row>
    <row r="216" spans="1:13">
      <c r="A216">
        <v>2016</v>
      </c>
      <c r="B216" s="10" t="s">
        <v>213</v>
      </c>
      <c r="C216" s="11">
        <v>12633.94</v>
      </c>
      <c r="D216" s="2"/>
      <c r="E216" s="2"/>
      <c r="F216" s="2"/>
      <c r="G216" s="2"/>
      <c r="H216" s="2"/>
      <c r="I216" s="2"/>
      <c r="J216" s="2"/>
      <c r="K216"/>
      <c r="L216"/>
      <c r="M216"/>
    </row>
    <row r="217" spans="1:13">
      <c r="A217">
        <v>2016</v>
      </c>
      <c r="B217" s="10" t="s">
        <v>214</v>
      </c>
      <c r="D217" s="1"/>
      <c r="E217" s="1"/>
      <c r="F217" s="1"/>
      <c r="G217" s="1"/>
      <c r="H217" s="2"/>
      <c r="I217" s="1"/>
      <c r="J217" s="1"/>
      <c r="K217"/>
      <c r="L217"/>
      <c r="M217"/>
    </row>
    <row r="218" spans="1:13">
      <c r="A218">
        <v>2016</v>
      </c>
      <c r="B218" s="10" t="s">
        <v>215</v>
      </c>
      <c r="C218" s="11">
        <v>660905.84</v>
      </c>
      <c r="D218" s="2"/>
      <c r="E218" s="2"/>
      <c r="F218" s="2"/>
      <c r="G218" s="2"/>
      <c r="H218" s="2"/>
      <c r="I218" s="2"/>
      <c r="J218" s="2"/>
      <c r="K218"/>
      <c r="L218"/>
      <c r="M218"/>
    </row>
    <row r="219" spans="1:13">
      <c r="A219">
        <v>2016</v>
      </c>
      <c r="B219" s="10" t="s">
        <v>216</v>
      </c>
      <c r="C219" s="11">
        <v>410218.55</v>
      </c>
      <c r="D219" s="2"/>
      <c r="E219" s="2"/>
      <c r="F219" s="2"/>
      <c r="G219" s="2"/>
      <c r="H219" s="2"/>
      <c r="I219" s="2"/>
      <c r="J219" s="2"/>
      <c r="K219"/>
      <c r="L219"/>
      <c r="M219"/>
    </row>
    <row r="220" spans="1:13">
      <c r="A220">
        <v>2016</v>
      </c>
      <c r="B220" s="10" t="s">
        <v>217</v>
      </c>
      <c r="C220" s="11">
        <v>191522.28</v>
      </c>
      <c r="D220" s="2"/>
      <c r="E220" s="2"/>
      <c r="F220" s="2"/>
      <c r="G220" s="2"/>
      <c r="H220" s="2"/>
      <c r="I220" s="2"/>
      <c r="J220" s="2"/>
      <c r="K220"/>
      <c r="L220"/>
      <c r="M220"/>
    </row>
    <row r="221" spans="1:13">
      <c r="A221">
        <v>2016</v>
      </c>
      <c r="B221" s="10" t="s">
        <v>218</v>
      </c>
      <c r="C221" s="11">
        <v>134962.54999999999</v>
      </c>
      <c r="D221" s="2"/>
      <c r="E221" s="2"/>
      <c r="F221" s="2"/>
      <c r="G221" s="2"/>
      <c r="H221" s="2"/>
      <c r="I221" s="2"/>
      <c r="J221" s="2"/>
      <c r="K221"/>
      <c r="L221"/>
      <c r="M221"/>
    </row>
    <row r="222" spans="1:13">
      <c r="A222">
        <v>2016</v>
      </c>
      <c r="B222" s="10" t="s">
        <v>219</v>
      </c>
      <c r="C222" s="11">
        <v>817660.58</v>
      </c>
      <c r="D222" s="2"/>
      <c r="E222" s="2"/>
      <c r="F222" s="2"/>
      <c r="G222" s="2"/>
      <c r="H222" s="2"/>
      <c r="I222" s="2"/>
      <c r="J222" s="2"/>
      <c r="K222"/>
      <c r="L222"/>
      <c r="M222"/>
    </row>
    <row r="223" spans="1:13">
      <c r="A223">
        <v>2016</v>
      </c>
      <c r="B223" s="10" t="s">
        <v>220</v>
      </c>
      <c r="C223" s="11">
        <v>404169.32</v>
      </c>
      <c r="D223" s="2"/>
      <c r="E223" s="2"/>
      <c r="F223" s="2"/>
      <c r="G223" s="2"/>
      <c r="H223" s="2"/>
      <c r="I223" s="2"/>
      <c r="J223" s="2"/>
      <c r="K223"/>
      <c r="L223"/>
      <c r="M223"/>
    </row>
    <row r="224" spans="1:13">
      <c r="A224">
        <v>2016</v>
      </c>
      <c r="B224" s="10" t="s">
        <v>221</v>
      </c>
      <c r="C224" s="11">
        <v>285011.14</v>
      </c>
      <c r="D224" s="2"/>
      <c r="E224" s="2"/>
      <c r="F224" s="2"/>
      <c r="G224" s="2"/>
      <c r="H224" s="2"/>
      <c r="I224" s="2"/>
      <c r="J224" s="2"/>
      <c r="K224"/>
      <c r="L224"/>
      <c r="M224"/>
    </row>
    <row r="225" spans="1:13">
      <c r="A225">
        <v>2016</v>
      </c>
      <c r="B225" s="10" t="s">
        <v>222</v>
      </c>
      <c r="C225" s="11">
        <v>45946.32</v>
      </c>
      <c r="D225" s="2"/>
      <c r="E225" s="2"/>
      <c r="F225" s="2"/>
      <c r="G225" s="2"/>
      <c r="H225" s="2"/>
      <c r="I225" s="2"/>
      <c r="J225" s="2"/>
      <c r="K225"/>
      <c r="L225"/>
      <c r="M225"/>
    </row>
    <row r="226" spans="1:13">
      <c r="A226">
        <v>2016</v>
      </c>
      <c r="B226" s="10" t="s">
        <v>223</v>
      </c>
      <c r="C226" s="11">
        <v>179749.84</v>
      </c>
      <c r="D226" s="2"/>
      <c r="E226" s="2"/>
      <c r="F226" s="2"/>
      <c r="G226" s="2"/>
      <c r="H226" s="2"/>
      <c r="I226" s="2"/>
      <c r="J226" s="2"/>
      <c r="K226"/>
      <c r="L226"/>
      <c r="M226"/>
    </row>
    <row r="227" spans="1:13">
      <c r="A227">
        <v>2016</v>
      </c>
      <c r="B227" s="10" t="s">
        <v>224</v>
      </c>
      <c r="C227" s="11">
        <v>284679.74</v>
      </c>
      <c r="D227" s="2"/>
      <c r="E227" s="2"/>
      <c r="F227" s="2"/>
      <c r="G227" s="2"/>
      <c r="H227" s="2"/>
      <c r="I227" s="2"/>
      <c r="J227" s="2"/>
      <c r="K227"/>
      <c r="L227"/>
      <c r="M227"/>
    </row>
    <row r="228" spans="1:13">
      <c r="A228">
        <v>2016</v>
      </c>
      <c r="B228" s="10" t="s">
        <v>225</v>
      </c>
      <c r="C228" s="11">
        <v>352839.75</v>
      </c>
      <c r="D228" s="2"/>
      <c r="E228" s="2"/>
      <c r="F228" s="2"/>
      <c r="G228" s="2"/>
      <c r="H228" s="2"/>
      <c r="I228" s="2"/>
      <c r="J228" s="2"/>
      <c r="K228"/>
      <c r="L228"/>
      <c r="M228"/>
    </row>
    <row r="229" spans="1:13">
      <c r="A229">
        <v>2016</v>
      </c>
      <c r="B229" s="10" t="s">
        <v>226</v>
      </c>
      <c r="C229" s="11">
        <v>884150.57</v>
      </c>
      <c r="D229" s="2"/>
      <c r="E229" s="2"/>
      <c r="F229" s="2"/>
      <c r="G229" s="2"/>
      <c r="H229" s="2"/>
      <c r="I229" s="2"/>
      <c r="J229" s="2"/>
      <c r="K229"/>
      <c r="L229"/>
      <c r="M229"/>
    </row>
    <row r="230" spans="1:13">
      <c r="A230">
        <v>2016</v>
      </c>
      <c r="B230" s="10" t="s">
        <v>227</v>
      </c>
      <c r="C230" s="11">
        <v>894462.61</v>
      </c>
      <c r="D230" s="2"/>
      <c r="E230" s="2"/>
      <c r="F230" s="2"/>
      <c r="G230" s="2"/>
      <c r="H230" s="2"/>
      <c r="I230" s="2"/>
      <c r="J230" s="2"/>
      <c r="K230"/>
      <c r="L230"/>
      <c r="M230"/>
    </row>
    <row r="231" spans="1:13">
      <c r="A231">
        <v>2016</v>
      </c>
      <c r="B231" s="10" t="s">
        <v>228</v>
      </c>
      <c r="C231" s="11">
        <v>288545.81</v>
      </c>
      <c r="D231" s="2"/>
      <c r="E231" s="2"/>
      <c r="F231" s="2"/>
      <c r="G231" s="2"/>
      <c r="H231" s="2"/>
      <c r="I231" s="2"/>
      <c r="J231" s="2"/>
      <c r="K231"/>
      <c r="L231"/>
      <c r="M231"/>
    </row>
    <row r="232" spans="1:13">
      <c r="A232">
        <v>2016</v>
      </c>
      <c r="B232" s="10" t="s">
        <v>229</v>
      </c>
      <c r="C232" s="11">
        <v>858705.1</v>
      </c>
      <c r="D232" s="2"/>
      <c r="E232" s="2"/>
      <c r="F232" s="2"/>
      <c r="G232" s="2"/>
      <c r="H232" s="2"/>
      <c r="I232" s="2"/>
      <c r="J232" s="2"/>
      <c r="K232"/>
      <c r="L232"/>
      <c r="M232"/>
    </row>
    <row r="233" spans="1:13">
      <c r="A233">
        <v>2016</v>
      </c>
      <c r="B233" s="10" t="s">
        <v>230</v>
      </c>
      <c r="C233" s="11">
        <v>100754.55</v>
      </c>
      <c r="D233" s="2"/>
      <c r="E233" s="2"/>
      <c r="F233" s="2"/>
      <c r="G233" s="2"/>
      <c r="H233" s="2"/>
      <c r="I233" s="3"/>
      <c r="J233" s="3"/>
      <c r="K233" s="3"/>
      <c r="L233" s="2"/>
      <c r="M233" s="2"/>
    </row>
    <row r="234" spans="1:13">
      <c r="A234">
        <v>2016</v>
      </c>
      <c r="B234" s="10" t="s">
        <v>231</v>
      </c>
      <c r="C234" s="11">
        <v>782428.82</v>
      </c>
      <c r="D234" s="2"/>
      <c r="E234" s="2"/>
      <c r="F234" s="2"/>
      <c r="G234" s="2"/>
      <c r="H234" s="2"/>
      <c r="I234" s="3"/>
      <c r="J234" s="3"/>
      <c r="K234" s="3"/>
      <c r="L234" s="2"/>
      <c r="M234" s="2"/>
    </row>
    <row r="235" spans="1:13">
      <c r="A235">
        <v>2016</v>
      </c>
      <c r="B235" s="10" t="s">
        <v>232</v>
      </c>
      <c r="C235" s="11">
        <v>251023.88</v>
      </c>
      <c r="D235" s="2"/>
      <c r="E235" s="2"/>
      <c r="F235" s="2"/>
      <c r="G235" s="2"/>
      <c r="H235" s="2"/>
      <c r="I235" s="3"/>
      <c r="J235" s="3"/>
      <c r="K235" s="3"/>
      <c r="L235" s="2"/>
      <c r="M235" s="2"/>
    </row>
    <row r="236" spans="1:13">
      <c r="A236">
        <v>2016</v>
      </c>
      <c r="B236" s="10" t="s">
        <v>233</v>
      </c>
      <c r="C236" s="11">
        <v>529968.51</v>
      </c>
      <c r="D236" s="2"/>
      <c r="E236" s="2"/>
      <c r="F236" s="2"/>
      <c r="G236" s="2"/>
      <c r="H236" s="2"/>
      <c r="I236" s="4"/>
      <c r="J236" s="4"/>
      <c r="K236" s="4"/>
      <c r="L236" s="2"/>
      <c r="M236" s="2"/>
    </row>
    <row r="237" spans="1:13">
      <c r="A237">
        <v>2016</v>
      </c>
      <c r="B237" s="10" t="s">
        <v>234</v>
      </c>
      <c r="C237" s="11">
        <v>492810.41</v>
      </c>
      <c r="D237" s="2"/>
      <c r="E237" s="2"/>
      <c r="F237" s="2"/>
      <c r="G237" s="2"/>
      <c r="H237" s="2"/>
      <c r="I237" s="3"/>
      <c r="J237" s="3"/>
      <c r="K237" s="3"/>
      <c r="L237" s="2"/>
      <c r="M237" s="2"/>
    </row>
    <row r="238" spans="1:13">
      <c r="A238">
        <v>2016</v>
      </c>
      <c r="B238" s="10" t="s">
        <v>235</v>
      </c>
      <c r="C238" s="11">
        <v>373843.9</v>
      </c>
      <c r="D238" s="2"/>
      <c r="E238" s="2"/>
      <c r="F238" s="2"/>
      <c r="G238" s="2"/>
      <c r="H238" s="2"/>
      <c r="I238" s="3"/>
      <c r="J238" s="3"/>
      <c r="K238" s="3"/>
      <c r="L238" s="2"/>
      <c r="M238" s="2"/>
    </row>
    <row r="239" spans="1:13">
      <c r="A239">
        <v>2016</v>
      </c>
      <c r="B239" s="10" t="s">
        <v>236</v>
      </c>
      <c r="C239" s="11">
        <v>149801.75</v>
      </c>
      <c r="D239" s="2"/>
      <c r="E239" s="2"/>
      <c r="F239" s="2"/>
      <c r="G239" s="2"/>
      <c r="H239" s="2"/>
      <c r="I239" s="3"/>
      <c r="J239" s="3"/>
      <c r="K239" s="3"/>
      <c r="L239" s="2"/>
      <c r="M239" s="2"/>
    </row>
    <row r="240" spans="1:13">
      <c r="A240">
        <v>2016</v>
      </c>
      <c r="B240" s="10" t="s">
        <v>237</v>
      </c>
      <c r="C240" s="11">
        <v>287876.7</v>
      </c>
      <c r="D240" s="2"/>
      <c r="E240" s="2"/>
      <c r="F240" s="2"/>
      <c r="G240" s="2"/>
      <c r="H240" s="2"/>
      <c r="I240" s="3"/>
      <c r="J240" s="3"/>
      <c r="K240" s="3"/>
      <c r="L240" s="2"/>
      <c r="M240" s="2"/>
    </row>
    <row r="241" spans="1:13">
      <c r="A241">
        <v>2016</v>
      </c>
      <c r="B241" s="10" t="s">
        <v>238</v>
      </c>
      <c r="C241" s="11">
        <v>73015.360000000001</v>
      </c>
      <c r="D241" s="2"/>
      <c r="E241" s="2"/>
      <c r="F241" s="2"/>
      <c r="G241" s="2"/>
      <c r="H241" s="2"/>
      <c r="I241" s="4"/>
      <c r="J241" s="4"/>
      <c r="K241" s="4"/>
      <c r="L241" s="2"/>
      <c r="M241" s="2"/>
    </row>
    <row r="242" spans="1:13">
      <c r="A242">
        <v>2016</v>
      </c>
      <c r="B242" s="10" t="s">
        <v>239</v>
      </c>
      <c r="C242" s="11">
        <v>621823.81000000006</v>
      </c>
      <c r="D242" s="2"/>
      <c r="E242" s="2"/>
      <c r="F242" s="2"/>
      <c r="G242" s="2"/>
      <c r="H242" s="2"/>
      <c r="I242" s="3"/>
      <c r="J242" s="3"/>
      <c r="K242" s="3"/>
      <c r="L242" s="2"/>
      <c r="M242" s="2"/>
    </row>
    <row r="243" spans="1:13">
      <c r="A243">
        <v>2016</v>
      </c>
      <c r="B243" s="10" t="s">
        <v>240</v>
      </c>
      <c r="C243" s="11">
        <v>107091.09</v>
      </c>
      <c r="D243" s="2"/>
      <c r="E243" s="2"/>
      <c r="F243" s="2"/>
      <c r="G243" s="2"/>
      <c r="H243" s="2"/>
      <c r="I243" s="3"/>
      <c r="J243" s="3"/>
      <c r="K243" s="3"/>
      <c r="L243" s="2"/>
      <c r="M243" s="2"/>
    </row>
    <row r="244" spans="1:13">
      <c r="A244">
        <v>2016</v>
      </c>
      <c r="B244" s="10" t="s">
        <v>241</v>
      </c>
      <c r="C244" s="11">
        <v>86006.63</v>
      </c>
      <c r="D244" s="2"/>
      <c r="E244" s="2"/>
      <c r="F244" s="2"/>
      <c r="G244" s="2"/>
      <c r="H244" s="2"/>
      <c r="I244" s="3"/>
      <c r="J244" s="3"/>
      <c r="K244" s="3"/>
      <c r="L244" s="2"/>
      <c r="M244" s="2"/>
    </row>
    <row r="245" spans="1:13">
      <c r="A245">
        <v>2016</v>
      </c>
      <c r="B245" s="10" t="s">
        <v>242</v>
      </c>
      <c r="C245" s="11">
        <v>203591.76</v>
      </c>
      <c r="D245" s="2"/>
      <c r="E245" s="2"/>
      <c r="F245" s="2"/>
      <c r="G245" s="2"/>
      <c r="H245" s="2"/>
      <c r="I245" s="3"/>
      <c r="J245" s="3"/>
      <c r="K245" s="3"/>
      <c r="L245" s="2"/>
      <c r="M245" s="2"/>
    </row>
    <row r="246" spans="1:13">
      <c r="A246">
        <v>2016</v>
      </c>
      <c r="B246" s="10" t="s">
        <v>243</v>
      </c>
      <c r="C246" s="11">
        <v>213686.34</v>
      </c>
      <c r="D246" s="2"/>
      <c r="E246" s="2"/>
      <c r="F246" s="2"/>
      <c r="G246" s="2"/>
      <c r="H246" s="2"/>
      <c r="I246" s="4"/>
      <c r="J246" s="4"/>
      <c r="K246" s="4"/>
      <c r="L246" s="2"/>
      <c r="M246" s="2"/>
    </row>
    <row r="247" spans="1:13">
      <c r="A247">
        <v>2016</v>
      </c>
      <c r="B247" s="10" t="s">
        <v>244</v>
      </c>
      <c r="C247" s="11">
        <v>84923.39</v>
      </c>
      <c r="D247" s="2"/>
      <c r="E247" s="2"/>
      <c r="F247" s="2"/>
      <c r="G247" s="2"/>
      <c r="H247" s="2"/>
      <c r="I247" s="3"/>
      <c r="J247" s="3"/>
      <c r="K247" s="3"/>
      <c r="L247" s="2"/>
      <c r="M247" s="2"/>
    </row>
    <row r="248" spans="1:13">
      <c r="A248">
        <v>2016</v>
      </c>
      <c r="B248" s="10" t="s">
        <v>245</v>
      </c>
      <c r="C248" s="11">
        <v>116177.5</v>
      </c>
      <c r="D248" s="2"/>
      <c r="E248" s="2"/>
      <c r="F248" s="2"/>
      <c r="G248" s="2"/>
      <c r="H248" s="2"/>
      <c r="I248" s="3"/>
      <c r="J248" s="3"/>
      <c r="K248" s="3"/>
      <c r="L248" s="2"/>
      <c r="M248" s="2"/>
    </row>
    <row r="249" spans="1:13">
      <c r="A249">
        <v>2016</v>
      </c>
      <c r="B249" s="10" t="s">
        <v>246</v>
      </c>
      <c r="C249" s="11">
        <v>226366.79</v>
      </c>
      <c r="D249" s="2"/>
      <c r="E249" s="2"/>
      <c r="F249" s="2"/>
      <c r="G249" s="2"/>
      <c r="H249" s="2"/>
      <c r="I249" s="4"/>
      <c r="J249" s="4"/>
      <c r="K249" s="4"/>
      <c r="L249" s="2"/>
      <c r="M249" s="2"/>
    </row>
    <row r="250" spans="1:13">
      <c r="A250">
        <v>2016</v>
      </c>
      <c r="B250" s="10" t="s">
        <v>247</v>
      </c>
      <c r="D250" s="1"/>
      <c r="E250" s="2"/>
      <c r="F250" s="1"/>
      <c r="G250"/>
      <c r="H250"/>
      <c r="I250"/>
      <c r="J250"/>
      <c r="K250"/>
      <c r="L250"/>
      <c r="M250"/>
    </row>
    <row r="251" spans="1:13">
      <c r="A251">
        <v>2016</v>
      </c>
      <c r="B251" s="10" t="s">
        <v>299</v>
      </c>
      <c r="C251" s="11">
        <v>1503913.79</v>
      </c>
      <c r="D251" s="2"/>
      <c r="E251" s="2"/>
      <c r="F251" s="2"/>
      <c r="G251" s="2"/>
      <c r="H251" s="2"/>
      <c r="I251" s="2"/>
      <c r="J251" s="2"/>
      <c r="K251"/>
      <c r="L251"/>
      <c r="M251"/>
    </row>
    <row r="252" spans="1:13">
      <c r="A252">
        <v>2016</v>
      </c>
      <c r="B252" s="10" t="s">
        <v>248</v>
      </c>
      <c r="C252" s="11">
        <v>708551.06</v>
      </c>
      <c r="D252" s="2"/>
      <c r="E252" s="2"/>
      <c r="F252" s="2"/>
      <c r="G252" s="2"/>
      <c r="H252" s="2"/>
      <c r="I252" s="2"/>
      <c r="J252" s="2"/>
      <c r="K252"/>
      <c r="L252"/>
      <c r="M252"/>
    </row>
    <row r="253" spans="1:13">
      <c r="A253">
        <v>2016</v>
      </c>
      <c r="B253" s="10" t="s">
        <v>249</v>
      </c>
      <c r="C253" s="11">
        <v>86954.42</v>
      </c>
      <c r="D253" s="2"/>
      <c r="E253" s="2"/>
      <c r="F253" s="2"/>
      <c r="G253" s="2"/>
      <c r="H253" s="2"/>
      <c r="I253" s="2"/>
      <c r="J253" s="2"/>
      <c r="K253"/>
      <c r="L253"/>
      <c r="M253"/>
    </row>
    <row r="254" spans="1:13">
      <c r="A254">
        <v>2016</v>
      </c>
      <c r="B254" s="10" t="s">
        <v>250</v>
      </c>
      <c r="D254" s="1"/>
      <c r="E254" s="1"/>
      <c r="F254" s="1"/>
      <c r="G254" s="1"/>
      <c r="H254" s="2"/>
      <c r="I254" s="1"/>
      <c r="J254" s="1"/>
      <c r="K254"/>
      <c r="L254"/>
      <c r="M254"/>
    </row>
    <row r="255" spans="1:13">
      <c r="A255">
        <v>2016</v>
      </c>
      <c r="B255" s="10" t="s">
        <v>251</v>
      </c>
      <c r="C255" s="11">
        <v>237621.96</v>
      </c>
      <c r="D255" s="2"/>
      <c r="E255" s="2"/>
      <c r="F255" s="2"/>
      <c r="G255" s="2"/>
      <c r="H255" s="2"/>
      <c r="I255" s="2"/>
      <c r="J255" s="2"/>
      <c r="K255"/>
      <c r="L255"/>
      <c r="M255"/>
    </row>
    <row r="256" spans="1:13">
      <c r="A256">
        <v>2016</v>
      </c>
      <c r="B256" s="10" t="s">
        <v>252</v>
      </c>
      <c r="C256" s="11">
        <v>223308.14</v>
      </c>
      <c r="D256" s="2"/>
      <c r="E256" s="2"/>
      <c r="F256" s="2"/>
      <c r="G256" s="2"/>
      <c r="H256" s="2"/>
      <c r="I256" s="2"/>
      <c r="J256" s="2"/>
      <c r="K256"/>
      <c r="L256"/>
      <c r="M256"/>
    </row>
    <row r="257" spans="1:13">
      <c r="A257">
        <v>2016</v>
      </c>
      <c r="B257" s="10" t="s">
        <v>253</v>
      </c>
      <c r="C257" s="11">
        <v>210934.45</v>
      </c>
      <c r="D257" s="2"/>
      <c r="E257" s="2"/>
      <c r="F257" s="2"/>
      <c r="G257" s="2"/>
      <c r="H257" s="2"/>
      <c r="I257" s="2"/>
      <c r="J257" s="2"/>
      <c r="K257"/>
      <c r="L257"/>
      <c r="M257"/>
    </row>
    <row r="258" spans="1:13">
      <c r="A258">
        <v>2016</v>
      </c>
      <c r="B258" s="10" t="s">
        <v>254</v>
      </c>
      <c r="C258" s="11">
        <v>245082.7</v>
      </c>
      <c r="D258" s="2"/>
      <c r="E258" s="2"/>
      <c r="F258" s="2"/>
      <c r="G258" s="2"/>
      <c r="H258" s="2"/>
      <c r="I258" s="2"/>
      <c r="J258" s="2"/>
      <c r="K258"/>
      <c r="L258"/>
      <c r="M258"/>
    </row>
    <row r="259" spans="1:13">
      <c r="A259">
        <v>2016</v>
      </c>
      <c r="B259" s="10" t="s">
        <v>255</v>
      </c>
      <c r="C259" s="11">
        <v>28687.06</v>
      </c>
      <c r="D259" s="2"/>
      <c r="E259" s="2"/>
      <c r="F259" s="2"/>
      <c r="G259" s="2"/>
      <c r="H259" s="2"/>
      <c r="I259" s="2"/>
      <c r="J259" s="2"/>
      <c r="K259"/>
      <c r="L259"/>
      <c r="M259"/>
    </row>
    <row r="260" spans="1:13">
      <c r="A260">
        <v>2016</v>
      </c>
      <c r="B260" s="10" t="s">
        <v>256</v>
      </c>
      <c r="C260" s="11">
        <v>40810.44</v>
      </c>
      <c r="D260" s="2"/>
      <c r="E260" s="2"/>
      <c r="F260" s="2"/>
      <c r="G260" s="2"/>
      <c r="H260" s="2"/>
      <c r="I260" s="2"/>
      <c r="J260" s="2"/>
      <c r="K260"/>
      <c r="L260"/>
      <c r="M260"/>
    </row>
    <row r="261" spans="1:13">
      <c r="A261">
        <v>2016</v>
      </c>
      <c r="B261" s="10" t="s">
        <v>257</v>
      </c>
      <c r="C261" s="11">
        <v>131598.64000000001</v>
      </c>
      <c r="D261" s="2"/>
      <c r="E261" s="2"/>
      <c r="F261" s="2"/>
      <c r="G261" s="2"/>
      <c r="H261" s="2"/>
      <c r="I261" s="2"/>
      <c r="J261" s="2"/>
      <c r="K261"/>
      <c r="L261"/>
      <c r="M261"/>
    </row>
    <row r="262" spans="1:13">
      <c r="A262">
        <v>2016</v>
      </c>
      <c r="B262" s="10" t="s">
        <v>258</v>
      </c>
      <c r="C262" s="11">
        <v>484471.08</v>
      </c>
      <c r="D262" s="2"/>
      <c r="E262" s="2"/>
      <c r="F262" s="2"/>
      <c r="G262" s="2"/>
      <c r="H262" s="2"/>
      <c r="I262" s="2"/>
      <c r="J262" s="2"/>
      <c r="K262"/>
      <c r="L262"/>
      <c r="M262"/>
    </row>
    <row r="263" spans="1:13">
      <c r="A263">
        <v>2016</v>
      </c>
      <c r="B263" s="10" t="s">
        <v>259</v>
      </c>
      <c r="C263" s="11">
        <v>189996.75</v>
      </c>
      <c r="D263" s="2"/>
      <c r="E263" s="2"/>
      <c r="F263" s="2"/>
      <c r="G263" s="2"/>
      <c r="H263" s="2"/>
      <c r="I263" s="2"/>
      <c r="J263" s="2"/>
      <c r="K263"/>
      <c r="L263"/>
      <c r="M263"/>
    </row>
    <row r="264" spans="1:13">
      <c r="A264">
        <v>2016</v>
      </c>
      <c r="B264" s="10" t="s">
        <v>260</v>
      </c>
      <c r="C264" s="11">
        <v>157234.69</v>
      </c>
      <c r="D264" s="2"/>
      <c r="E264" s="2"/>
      <c r="F264" s="2"/>
      <c r="G264" s="2"/>
      <c r="H264" s="2"/>
      <c r="I264" s="2"/>
      <c r="J264" s="2"/>
      <c r="K264"/>
      <c r="L264"/>
      <c r="M264"/>
    </row>
    <row r="265" spans="1:13">
      <c r="A265">
        <v>2016</v>
      </c>
      <c r="B265" s="10" t="s">
        <v>261</v>
      </c>
      <c r="C265" s="11">
        <v>250914.06</v>
      </c>
      <c r="D265" s="2"/>
      <c r="E265" s="2"/>
      <c r="F265" s="2"/>
      <c r="G265" s="2"/>
      <c r="H265" s="2"/>
      <c r="I265" s="2"/>
      <c r="J265" s="2"/>
      <c r="K265"/>
      <c r="L265"/>
      <c r="M265"/>
    </row>
    <row r="266" spans="1:13">
      <c r="A266">
        <v>2016</v>
      </c>
      <c r="B266" s="10" t="s">
        <v>262</v>
      </c>
      <c r="C266" s="11">
        <v>234203.66</v>
      </c>
      <c r="D266" s="2"/>
      <c r="E266" s="2"/>
      <c r="F266" s="2"/>
      <c r="G266" s="2"/>
      <c r="H266" s="2"/>
      <c r="I266" s="2"/>
      <c r="J266" s="2"/>
      <c r="K266"/>
      <c r="L266"/>
      <c r="M266"/>
    </row>
    <row r="267" spans="1:13">
      <c r="A267">
        <v>2016</v>
      </c>
      <c r="B267" s="10" t="s">
        <v>263</v>
      </c>
      <c r="C267" s="11">
        <v>535132.36</v>
      </c>
      <c r="D267" s="2"/>
      <c r="E267" s="2"/>
      <c r="F267" s="2"/>
      <c r="G267" s="2"/>
      <c r="H267" s="2"/>
      <c r="I267" s="2"/>
      <c r="J267" s="2"/>
      <c r="K267"/>
      <c r="L267"/>
      <c r="M267"/>
    </row>
    <row r="268" spans="1:13">
      <c r="A268">
        <v>2016</v>
      </c>
      <c r="B268" s="10" t="s">
        <v>264</v>
      </c>
      <c r="C268" s="11">
        <v>359047.49</v>
      </c>
      <c r="D268" s="2"/>
      <c r="E268" s="2"/>
      <c r="F268" s="2"/>
      <c r="G268" s="2"/>
      <c r="H268" s="2"/>
      <c r="I268" s="2"/>
      <c r="J268" s="2"/>
      <c r="K268"/>
      <c r="L268"/>
      <c r="M268"/>
    </row>
    <row r="269" spans="1:13">
      <c r="A269">
        <v>2016</v>
      </c>
      <c r="B269" s="10" t="s">
        <v>265</v>
      </c>
      <c r="C269" s="11">
        <v>225473.16</v>
      </c>
      <c r="D269" s="2"/>
      <c r="E269" s="2"/>
      <c r="F269" s="2"/>
      <c r="G269" s="2"/>
      <c r="H269" s="2"/>
      <c r="I269" s="2"/>
      <c r="J269" s="2"/>
      <c r="K269"/>
      <c r="L269"/>
      <c r="M269"/>
    </row>
    <row r="270" spans="1:13">
      <c r="A270">
        <v>2016</v>
      </c>
      <c r="B270" s="10" t="s">
        <v>266</v>
      </c>
      <c r="C270" s="11">
        <v>646014.35</v>
      </c>
      <c r="D270" s="2"/>
      <c r="E270" s="2"/>
      <c r="F270" s="2"/>
      <c r="G270" s="2"/>
      <c r="H270" s="2"/>
      <c r="I270" s="2"/>
      <c r="J270" s="2"/>
      <c r="K270"/>
      <c r="L270"/>
      <c r="M270"/>
    </row>
    <row r="271" spans="1:13">
      <c r="A271">
        <v>2016</v>
      </c>
      <c r="B271" s="10" t="s">
        <v>267</v>
      </c>
      <c r="C271" s="11">
        <v>192996.69</v>
      </c>
      <c r="D271" s="2"/>
      <c r="E271" s="2"/>
      <c r="F271" s="2"/>
      <c r="G271" s="2"/>
      <c r="H271" s="2"/>
      <c r="I271" s="2"/>
      <c r="J271" s="2"/>
      <c r="K271"/>
      <c r="L271"/>
      <c r="M271"/>
    </row>
    <row r="272" spans="1:13">
      <c r="A272">
        <v>2016</v>
      </c>
      <c r="B272" s="10" t="s">
        <v>268</v>
      </c>
      <c r="C272" s="11">
        <v>239066.31</v>
      </c>
      <c r="D272" s="2"/>
      <c r="E272" s="2"/>
      <c r="F272" s="2"/>
      <c r="G272" s="2"/>
      <c r="H272" s="2"/>
      <c r="I272" s="2"/>
      <c r="J272" s="2"/>
      <c r="K272"/>
      <c r="L272"/>
      <c r="M272"/>
    </row>
    <row r="273" spans="1:13">
      <c r="A273">
        <v>2016</v>
      </c>
      <c r="B273" s="10" t="s">
        <v>269</v>
      </c>
      <c r="C273" s="11">
        <v>36613.800000000003</v>
      </c>
      <c r="D273" s="2"/>
      <c r="E273" s="2"/>
      <c r="F273" s="2"/>
      <c r="G273" s="2"/>
      <c r="H273" s="2"/>
      <c r="I273" s="2"/>
      <c r="J273" s="2"/>
      <c r="K273"/>
      <c r="L273"/>
      <c r="M273"/>
    </row>
    <row r="274" spans="1:13">
      <c r="A274">
        <v>2016</v>
      </c>
      <c r="B274" s="10" t="s">
        <v>270</v>
      </c>
      <c r="C274" s="11">
        <v>385659.85</v>
      </c>
      <c r="D274" s="2"/>
      <c r="E274" s="2"/>
      <c r="F274" s="2"/>
      <c r="G274" s="2"/>
      <c r="H274" s="2"/>
      <c r="I274" s="2"/>
      <c r="J274" s="2"/>
      <c r="K274"/>
      <c r="L274"/>
      <c r="M274"/>
    </row>
    <row r="275" spans="1:13">
      <c r="A275">
        <v>2016</v>
      </c>
      <c r="B275" s="10" t="s">
        <v>271</v>
      </c>
      <c r="C275" s="11">
        <v>360477.54</v>
      </c>
      <c r="D275" s="2"/>
      <c r="E275" s="2"/>
      <c r="F275" s="2"/>
      <c r="G275" s="2"/>
      <c r="H275" s="2"/>
      <c r="I275" s="2"/>
      <c r="J275" s="2"/>
      <c r="K275"/>
      <c r="L275"/>
      <c r="M275"/>
    </row>
    <row r="276" spans="1:13">
      <c r="A276">
        <v>2016</v>
      </c>
      <c r="B276" s="10" t="s">
        <v>272</v>
      </c>
      <c r="C276" s="11">
        <v>525994.1</v>
      </c>
      <c r="D276" s="2"/>
      <c r="E276" s="2"/>
      <c r="F276" s="2"/>
      <c r="G276" s="2"/>
      <c r="H276" s="2"/>
      <c r="I276" s="2"/>
      <c r="J276" s="2"/>
      <c r="K276"/>
      <c r="L276"/>
      <c r="M276"/>
    </row>
    <row r="277" spans="1:13">
      <c r="A277">
        <v>2016</v>
      </c>
      <c r="B277" s="10" t="s">
        <v>273</v>
      </c>
      <c r="C277" s="11">
        <v>69202.03</v>
      </c>
      <c r="D277" s="2"/>
      <c r="E277" s="2"/>
      <c r="F277" s="2"/>
      <c r="G277" s="2"/>
      <c r="H277" s="2"/>
      <c r="I277" s="2"/>
      <c r="J277" s="2"/>
      <c r="K277"/>
      <c r="L277"/>
      <c r="M277"/>
    </row>
    <row r="278" spans="1:13">
      <c r="A278">
        <v>2016</v>
      </c>
      <c r="B278" s="10" t="s">
        <v>274</v>
      </c>
      <c r="C278" s="11">
        <v>176771.23</v>
      </c>
      <c r="D278" s="2"/>
      <c r="E278" s="2"/>
      <c r="F278" s="2"/>
      <c r="G278" s="2"/>
      <c r="H278" s="2"/>
      <c r="I278" s="2"/>
      <c r="J278" s="2"/>
      <c r="K278"/>
      <c r="L278"/>
      <c r="M278"/>
    </row>
    <row r="279" spans="1:13">
      <c r="A279">
        <v>2016</v>
      </c>
      <c r="B279" s="10" t="s">
        <v>275</v>
      </c>
      <c r="C279" s="11">
        <v>249823.79</v>
      </c>
      <c r="D279" s="2"/>
      <c r="E279" s="2"/>
      <c r="F279" s="2"/>
      <c r="G279" s="2"/>
      <c r="H279" s="2"/>
      <c r="I279" s="2"/>
      <c r="J279" s="2"/>
      <c r="K279"/>
      <c r="L279"/>
      <c r="M279"/>
    </row>
    <row r="280" spans="1:13">
      <c r="A280">
        <v>2016</v>
      </c>
      <c r="B280" s="10" t="s">
        <v>276</v>
      </c>
      <c r="C280" s="11">
        <v>173578.45</v>
      </c>
      <c r="D280" s="2"/>
      <c r="E280" s="2"/>
      <c r="F280" s="2"/>
      <c r="G280" s="2"/>
      <c r="H280" s="2"/>
      <c r="I280" s="2"/>
      <c r="J280" s="2"/>
      <c r="K280"/>
      <c r="L280"/>
      <c r="M280"/>
    </row>
    <row r="281" spans="1:13">
      <c r="A281">
        <v>2016</v>
      </c>
      <c r="B281" s="10" t="s">
        <v>277</v>
      </c>
      <c r="C281" s="11">
        <v>138364.07999999999</v>
      </c>
      <c r="D281" s="2"/>
      <c r="E281" s="2"/>
      <c r="F281" s="2"/>
      <c r="G281" s="2"/>
      <c r="H281" s="2"/>
      <c r="I281" s="2"/>
      <c r="J281" s="2"/>
      <c r="K281"/>
      <c r="L281"/>
      <c r="M281"/>
    </row>
    <row r="282" spans="1:13">
      <c r="A282">
        <v>2016</v>
      </c>
      <c r="B282" s="10" t="s">
        <v>278</v>
      </c>
      <c r="C282" s="11">
        <v>136060.5</v>
      </c>
      <c r="D282" s="2"/>
      <c r="E282" s="2"/>
      <c r="F282" s="2"/>
      <c r="G282" s="2"/>
      <c r="H282" s="2"/>
      <c r="I282" s="2"/>
      <c r="J282" s="2"/>
      <c r="K282"/>
      <c r="L282"/>
      <c r="M282"/>
    </row>
    <row r="283" spans="1:13">
      <c r="A283">
        <v>2016</v>
      </c>
      <c r="B283" s="10" t="s">
        <v>279</v>
      </c>
      <c r="C283" s="11">
        <v>328696.55</v>
      </c>
      <c r="D283" s="2"/>
      <c r="E283" s="2"/>
      <c r="F283" s="2"/>
      <c r="G283" s="2"/>
      <c r="H283" s="2"/>
      <c r="I283" s="2"/>
      <c r="J283" s="2"/>
      <c r="K283"/>
      <c r="L283"/>
      <c r="M283"/>
    </row>
    <row r="284" spans="1:13">
      <c r="A284">
        <v>2016</v>
      </c>
      <c r="B284" s="10" t="s">
        <v>280</v>
      </c>
      <c r="C284" s="11">
        <v>586640.06999999995</v>
      </c>
      <c r="D284" s="2"/>
      <c r="E284" s="2"/>
      <c r="F284" s="2"/>
      <c r="G284" s="2"/>
      <c r="H284" s="2"/>
      <c r="I284" s="2"/>
      <c r="J284" s="2"/>
      <c r="K284"/>
      <c r="L284"/>
      <c r="M284"/>
    </row>
    <row r="285" spans="1:13">
      <c r="A285">
        <v>2016</v>
      </c>
      <c r="B285" s="10" t="s">
        <v>281</v>
      </c>
      <c r="C285" s="11">
        <v>143981</v>
      </c>
      <c r="D285" s="2"/>
      <c r="E285" s="2"/>
      <c r="F285" s="2"/>
      <c r="G285" s="2"/>
      <c r="H285" s="2"/>
      <c r="I285" s="2"/>
      <c r="J285" s="2"/>
      <c r="K285"/>
      <c r="L285"/>
      <c r="M285"/>
    </row>
    <row r="286" spans="1:13">
      <c r="A286">
        <v>2016</v>
      </c>
      <c r="B286" s="10" t="s">
        <v>282</v>
      </c>
      <c r="C286" s="11">
        <v>507780.68</v>
      </c>
      <c r="D286" s="2"/>
      <c r="E286" s="2"/>
      <c r="F286" s="2"/>
      <c r="G286" s="2"/>
      <c r="H286" s="2"/>
      <c r="I286" s="2"/>
      <c r="J286" s="2"/>
      <c r="K286"/>
      <c r="L286"/>
      <c r="M286"/>
    </row>
    <row r="287" spans="1:13">
      <c r="A287">
        <v>2016</v>
      </c>
      <c r="B287" s="10" t="s">
        <v>283</v>
      </c>
      <c r="C287" s="11">
        <v>172333.6</v>
      </c>
      <c r="D287" s="2"/>
      <c r="E287" s="2"/>
      <c r="F287" s="2"/>
      <c r="G287" s="2"/>
      <c r="H287" s="2"/>
      <c r="I287" s="2"/>
      <c r="J287" s="2"/>
      <c r="K287"/>
      <c r="L287"/>
      <c r="M287"/>
    </row>
    <row r="288" spans="1:13">
      <c r="A288">
        <v>2016</v>
      </c>
      <c r="B288" s="10" t="s">
        <v>284</v>
      </c>
      <c r="C288" s="11">
        <v>636050.21</v>
      </c>
      <c r="D288" s="2"/>
      <c r="E288" s="2"/>
      <c r="F288" s="2"/>
      <c r="G288" s="2"/>
      <c r="H288" s="2"/>
      <c r="I288" s="2"/>
      <c r="J288" s="2"/>
      <c r="K288"/>
      <c r="L288"/>
      <c r="M288"/>
    </row>
    <row r="289" spans="1:13">
      <c r="A289">
        <v>2016</v>
      </c>
      <c r="B289" s="10" t="s">
        <v>285</v>
      </c>
      <c r="C289" s="11">
        <v>47090.28</v>
      </c>
      <c r="D289" s="2"/>
      <c r="E289" s="2"/>
      <c r="F289" s="2"/>
      <c r="G289" s="2"/>
      <c r="H289" s="2"/>
      <c r="I289" s="2"/>
      <c r="J289" s="2"/>
      <c r="K289"/>
      <c r="L289"/>
      <c r="M289"/>
    </row>
    <row r="290" spans="1:13">
      <c r="A290">
        <v>2016</v>
      </c>
      <c r="B290" s="10" t="s">
        <v>286</v>
      </c>
      <c r="C290" s="11">
        <v>292469.14</v>
      </c>
      <c r="D290" s="2"/>
      <c r="E290" s="2"/>
      <c r="F290" s="2"/>
      <c r="G290" s="2"/>
      <c r="H290" s="2"/>
      <c r="I290" s="2"/>
      <c r="J290" s="2"/>
      <c r="K290"/>
      <c r="L290"/>
      <c r="M290"/>
    </row>
    <row r="291" spans="1:13">
      <c r="A291">
        <v>2016</v>
      </c>
      <c r="B291" s="10" t="s">
        <v>287</v>
      </c>
      <c r="C291" s="11">
        <v>26110.51</v>
      </c>
      <c r="D291" s="2"/>
      <c r="E291" s="2"/>
      <c r="F291" s="2"/>
      <c r="G291" s="2"/>
      <c r="H291" s="2"/>
      <c r="I291" s="2"/>
      <c r="J291" s="2"/>
      <c r="K291"/>
      <c r="L291"/>
      <c r="M291"/>
    </row>
    <row r="292" spans="1:13">
      <c r="A292">
        <v>2016</v>
      </c>
      <c r="B292" s="10" t="s">
        <v>288</v>
      </c>
      <c r="C292" s="11">
        <v>147169.51</v>
      </c>
      <c r="D292" s="2"/>
      <c r="E292" s="2"/>
      <c r="F292" s="2"/>
      <c r="G292" s="2"/>
      <c r="H292" s="2"/>
      <c r="I292" s="2"/>
      <c r="J292" s="2"/>
      <c r="K292"/>
      <c r="L292"/>
      <c r="M292"/>
    </row>
    <row r="293" spans="1:13">
      <c r="A293">
        <v>2016</v>
      </c>
      <c r="B293" s="10" t="s">
        <v>289</v>
      </c>
      <c r="C293" s="11">
        <v>159726.18</v>
      </c>
      <c r="D293" s="2"/>
      <c r="E293" s="2"/>
      <c r="F293" s="2"/>
      <c r="G293" s="2"/>
      <c r="H293" s="2"/>
      <c r="I293" s="2"/>
      <c r="J293" s="2"/>
      <c r="K293"/>
      <c r="L293"/>
      <c r="M293"/>
    </row>
    <row r="294" spans="1:13">
      <c r="A294">
        <v>2016</v>
      </c>
      <c r="B294" s="10" t="s">
        <v>290</v>
      </c>
      <c r="C294" s="11">
        <v>153546.60999999999</v>
      </c>
      <c r="D294" s="2"/>
      <c r="E294" s="2"/>
      <c r="F294" s="2"/>
      <c r="G294" s="2"/>
      <c r="H294" s="2"/>
      <c r="I294" s="2"/>
      <c r="J294" s="2"/>
      <c r="K294"/>
      <c r="L294"/>
      <c r="M294"/>
    </row>
    <row r="295" spans="1:13">
      <c r="A295">
        <v>2016</v>
      </c>
      <c r="B295" s="10" t="s">
        <v>291</v>
      </c>
      <c r="C295" s="11">
        <v>211383.9</v>
      </c>
      <c r="D295" s="2"/>
      <c r="E295" s="2"/>
      <c r="F295" s="2"/>
      <c r="G295" s="2"/>
      <c r="H295" s="2"/>
      <c r="I295" s="2"/>
      <c r="J295" s="2"/>
      <c r="K295"/>
      <c r="L295"/>
      <c r="M295"/>
    </row>
    <row r="296" spans="1:13">
      <c r="A296">
        <v>2016</v>
      </c>
      <c r="B296" s="10" t="s">
        <v>300</v>
      </c>
      <c r="C296" s="11">
        <v>325408.71000000002</v>
      </c>
      <c r="D296" s="2"/>
      <c r="E296" s="2"/>
      <c r="F296" s="2"/>
      <c r="G296" s="2"/>
      <c r="H296" s="2"/>
      <c r="I296" s="2"/>
      <c r="J296" s="2"/>
      <c r="K296"/>
      <c r="L296"/>
      <c r="M296"/>
    </row>
    <row r="298" spans="1:13">
      <c r="B298" s="12" t="s">
        <v>297</v>
      </c>
      <c r="C298" s="11">
        <f>SUM(C2:C296)</f>
        <v>73225063.940000013</v>
      </c>
    </row>
    <row r="299" spans="1:13">
      <c r="B299" s="12"/>
    </row>
    <row r="300" spans="1:13">
      <c r="B300" s="12" t="s">
        <v>296</v>
      </c>
      <c r="C300" s="11">
        <v>73225064</v>
      </c>
    </row>
    <row r="302" spans="1:13">
      <c r="B302" s="13" t="s">
        <v>295</v>
      </c>
      <c r="C302" s="14">
        <f>C298-C300</f>
        <v>-5.9999987483024597E-2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5125-6E5F-1B45-9A91-6856B0605354}">
  <sheetPr>
    <tabColor rgb="FFFFFF00"/>
  </sheetPr>
  <dimension ref="A1:I306"/>
  <sheetViews>
    <sheetView workbookViewId="0">
      <selection activeCell="A2" sqref="A2:C300"/>
    </sheetView>
  </sheetViews>
  <sheetFormatPr baseColWidth="10" defaultRowHeight="16"/>
  <cols>
    <col min="2" max="2" width="22.1640625" style="10" bestFit="1" customWidth="1"/>
    <col min="3" max="3" width="14" style="15" bestFit="1" customWidth="1"/>
  </cols>
  <sheetData>
    <row r="1" spans="1:9">
      <c r="A1" t="s">
        <v>356</v>
      </c>
      <c r="B1" s="10" t="s">
        <v>293</v>
      </c>
      <c r="C1" s="10" t="s">
        <v>294</v>
      </c>
    </row>
    <row r="2" spans="1:9">
      <c r="A2">
        <v>2017</v>
      </c>
      <c r="B2" s="10" t="s">
        <v>207</v>
      </c>
      <c r="C2" s="15">
        <v>405265</v>
      </c>
      <c r="D2" s="18"/>
      <c r="E2" s="16"/>
      <c r="F2" s="19"/>
      <c r="G2" s="18"/>
      <c r="H2" s="18"/>
      <c r="I2" s="18"/>
    </row>
    <row r="3" spans="1:9">
      <c r="A3">
        <v>2017</v>
      </c>
      <c r="B3" s="10" t="s">
        <v>210</v>
      </c>
      <c r="C3" s="15">
        <v>280006</v>
      </c>
      <c r="D3" s="20"/>
      <c r="E3" s="16"/>
      <c r="F3" s="19"/>
      <c r="G3" s="20"/>
      <c r="H3" s="20"/>
      <c r="I3" s="20"/>
    </row>
    <row r="4" spans="1:9">
      <c r="A4">
        <v>2017</v>
      </c>
      <c r="B4" s="10" t="s">
        <v>204</v>
      </c>
      <c r="C4" s="15">
        <v>263421</v>
      </c>
      <c r="D4" s="20"/>
      <c r="E4" s="16"/>
      <c r="F4" s="19"/>
      <c r="G4" s="20"/>
      <c r="H4" s="20"/>
      <c r="I4" s="20"/>
    </row>
    <row r="5" spans="1:9">
      <c r="A5">
        <v>2017</v>
      </c>
      <c r="B5" s="10" t="s">
        <v>232</v>
      </c>
      <c r="C5" s="15">
        <v>279929</v>
      </c>
      <c r="D5" s="20"/>
      <c r="E5" s="16"/>
      <c r="F5" s="19"/>
      <c r="G5" s="20"/>
      <c r="H5" s="20"/>
      <c r="I5" s="20"/>
    </row>
    <row r="6" spans="1:9">
      <c r="A6">
        <v>2017</v>
      </c>
      <c r="B6" s="10" t="s">
        <v>0</v>
      </c>
      <c r="C6" s="15">
        <v>59629</v>
      </c>
      <c r="D6" s="20"/>
      <c r="E6" s="16"/>
      <c r="F6" s="19"/>
      <c r="G6" s="20"/>
      <c r="H6" s="20"/>
      <c r="I6" s="20"/>
    </row>
    <row r="7" spans="1:9">
      <c r="A7">
        <v>2017</v>
      </c>
      <c r="B7" s="10" t="s">
        <v>1</v>
      </c>
      <c r="C7" s="15">
        <v>64137</v>
      </c>
      <c r="D7" s="20"/>
      <c r="E7" s="16"/>
      <c r="F7" s="19"/>
      <c r="G7" s="20"/>
      <c r="H7" s="20"/>
      <c r="I7" s="20"/>
    </row>
    <row r="8" spans="1:9">
      <c r="A8">
        <v>2017</v>
      </c>
      <c r="B8" s="10" t="s">
        <v>2</v>
      </c>
      <c r="C8" s="15">
        <v>130349</v>
      </c>
      <c r="D8" s="20"/>
      <c r="E8" s="16"/>
      <c r="F8" s="19"/>
      <c r="G8" s="20"/>
      <c r="H8" s="20"/>
      <c r="I8" s="20"/>
    </row>
    <row r="9" spans="1:9">
      <c r="A9">
        <v>2017</v>
      </c>
      <c r="B9" s="10" t="s">
        <v>3</v>
      </c>
      <c r="C9" s="15">
        <v>423575</v>
      </c>
      <c r="D9" s="20"/>
      <c r="E9" s="16"/>
      <c r="F9" s="19"/>
      <c r="G9" s="20"/>
      <c r="H9" s="20"/>
      <c r="I9" s="20"/>
    </row>
    <row r="10" spans="1:9">
      <c r="A10">
        <v>2017</v>
      </c>
      <c r="B10" s="10" t="s">
        <v>212</v>
      </c>
      <c r="D10" s="16"/>
      <c r="E10" s="16"/>
      <c r="F10" s="19"/>
      <c r="G10" s="16"/>
      <c r="H10" s="20"/>
      <c r="I10" s="20"/>
    </row>
    <row r="11" spans="1:9">
      <c r="A11">
        <v>2017</v>
      </c>
      <c r="B11" s="10" t="s">
        <v>4</v>
      </c>
      <c r="C11" s="15">
        <v>88083</v>
      </c>
      <c r="D11" s="20"/>
      <c r="E11" s="16"/>
      <c r="F11" s="19"/>
      <c r="G11" s="20"/>
      <c r="H11" s="20"/>
      <c r="I11" s="20"/>
    </row>
    <row r="12" spans="1:9">
      <c r="A12">
        <v>2017</v>
      </c>
      <c r="B12" s="10" t="s">
        <v>5</v>
      </c>
      <c r="C12" s="15">
        <v>52640</v>
      </c>
      <c r="D12" s="20"/>
      <c r="E12" s="16"/>
      <c r="F12" s="19"/>
      <c r="G12" s="20"/>
      <c r="H12" s="20"/>
      <c r="I12" s="20"/>
    </row>
    <row r="13" spans="1:9">
      <c r="A13">
        <v>2017</v>
      </c>
      <c r="B13" s="10" t="s">
        <v>6</v>
      </c>
      <c r="C13" s="15">
        <v>147561</v>
      </c>
      <c r="D13" s="20"/>
      <c r="E13" s="16"/>
      <c r="F13" s="19"/>
      <c r="G13" s="20"/>
      <c r="H13" s="20"/>
      <c r="I13" s="20"/>
    </row>
    <row r="14" spans="1:9">
      <c r="A14">
        <v>2017</v>
      </c>
      <c r="B14" s="10" t="s">
        <v>7</v>
      </c>
      <c r="C14" s="15">
        <v>515012</v>
      </c>
      <c r="D14" s="20"/>
      <c r="E14" s="16"/>
      <c r="F14" s="19"/>
      <c r="G14" s="20"/>
      <c r="H14" s="20"/>
      <c r="I14" s="20"/>
    </row>
    <row r="15" spans="1:9">
      <c r="A15">
        <v>2017</v>
      </c>
      <c r="B15" s="10" t="s">
        <v>285</v>
      </c>
      <c r="C15" s="15">
        <v>394693</v>
      </c>
      <c r="D15" s="20"/>
      <c r="E15" s="16"/>
      <c r="F15" s="19"/>
      <c r="G15" s="20"/>
      <c r="H15" s="20"/>
      <c r="I15" s="20"/>
    </row>
    <row r="16" spans="1:9">
      <c r="A16">
        <v>2017</v>
      </c>
      <c r="B16" s="10" t="s">
        <v>8</v>
      </c>
      <c r="C16" s="15">
        <v>438105</v>
      </c>
      <c r="D16" s="20"/>
      <c r="E16" s="16"/>
      <c r="F16" s="19"/>
      <c r="G16" s="20"/>
      <c r="H16" s="20"/>
      <c r="I16" s="20"/>
    </row>
    <row r="17" spans="1:9">
      <c r="A17">
        <v>2017</v>
      </c>
      <c r="B17" s="10" t="s">
        <v>209</v>
      </c>
      <c r="D17" s="16"/>
      <c r="E17" s="16"/>
      <c r="F17" s="19"/>
      <c r="G17" s="16"/>
      <c r="H17" s="20"/>
      <c r="I17" s="20"/>
    </row>
    <row r="18" spans="1:9">
      <c r="A18">
        <v>2017</v>
      </c>
      <c r="B18" s="10" t="s">
        <v>301</v>
      </c>
      <c r="C18" s="15">
        <v>158748</v>
      </c>
      <c r="D18" s="20"/>
      <c r="E18" s="16"/>
      <c r="F18" s="19"/>
      <c r="G18" s="20"/>
      <c r="H18" s="20"/>
      <c r="I18" s="20"/>
    </row>
    <row r="19" spans="1:9">
      <c r="A19">
        <v>2017</v>
      </c>
      <c r="B19" s="10" t="s">
        <v>9</v>
      </c>
      <c r="C19" s="15">
        <v>109490</v>
      </c>
      <c r="D19" s="20"/>
      <c r="E19" s="16"/>
      <c r="F19" s="19"/>
      <c r="G19" s="20"/>
      <c r="H19" s="20"/>
      <c r="I19" s="20"/>
    </row>
    <row r="20" spans="1:9">
      <c r="A20">
        <v>2017</v>
      </c>
      <c r="B20" s="10" t="s">
        <v>196</v>
      </c>
      <c r="C20" s="15">
        <v>865456</v>
      </c>
      <c r="D20" s="20"/>
      <c r="E20" s="16"/>
      <c r="F20" s="19"/>
      <c r="G20" s="20"/>
      <c r="H20" s="20"/>
      <c r="I20" s="20"/>
    </row>
    <row r="21" spans="1:9">
      <c r="A21">
        <v>2017</v>
      </c>
      <c r="B21" s="10" t="s">
        <v>10</v>
      </c>
      <c r="C21" s="15">
        <v>432367</v>
      </c>
      <c r="D21" s="20"/>
      <c r="E21" s="16"/>
      <c r="F21" s="19"/>
      <c r="G21" s="20"/>
      <c r="H21" s="20"/>
      <c r="I21" s="20"/>
    </row>
    <row r="22" spans="1:9">
      <c r="A22">
        <v>2017</v>
      </c>
      <c r="B22" s="10" t="s">
        <v>223</v>
      </c>
      <c r="C22" s="15">
        <v>358569</v>
      </c>
      <c r="D22" s="20"/>
      <c r="E22" s="16"/>
      <c r="F22" s="19"/>
      <c r="G22" s="20"/>
      <c r="H22" s="20"/>
      <c r="I22" s="20"/>
    </row>
    <row r="23" spans="1:9">
      <c r="A23">
        <v>2017</v>
      </c>
      <c r="B23" s="10" t="s">
        <v>11</v>
      </c>
      <c r="C23" s="15">
        <v>54716</v>
      </c>
      <c r="D23" s="20"/>
      <c r="E23" s="16"/>
      <c r="F23" s="19"/>
      <c r="G23" s="20"/>
      <c r="H23" s="20"/>
      <c r="I23" s="20"/>
    </row>
    <row r="24" spans="1:9">
      <c r="A24">
        <v>2017</v>
      </c>
      <c r="B24" s="10" t="s">
        <v>12</v>
      </c>
      <c r="C24" s="15">
        <v>99864</v>
      </c>
      <c r="D24" s="20"/>
      <c r="E24" s="16"/>
      <c r="F24" s="19"/>
      <c r="G24" s="20"/>
      <c r="H24" s="20"/>
      <c r="I24" s="20"/>
    </row>
    <row r="25" spans="1:9">
      <c r="A25">
        <v>2017</v>
      </c>
      <c r="B25" s="10" t="s">
        <v>13</v>
      </c>
      <c r="C25" s="15">
        <v>149457</v>
      </c>
      <c r="D25" s="20"/>
      <c r="E25" s="16"/>
      <c r="F25" s="19"/>
      <c r="G25" s="20"/>
      <c r="H25" s="20"/>
      <c r="I25" s="20"/>
    </row>
    <row r="26" spans="1:9">
      <c r="A26">
        <v>2017</v>
      </c>
      <c r="B26" s="10" t="s">
        <v>14</v>
      </c>
      <c r="C26" s="15">
        <v>217296</v>
      </c>
      <c r="D26" s="20"/>
      <c r="E26" s="16"/>
      <c r="F26" s="19"/>
      <c r="G26" s="20"/>
      <c r="H26" s="20"/>
      <c r="I26" s="20"/>
    </row>
    <row r="27" spans="1:9">
      <c r="A27">
        <v>2017</v>
      </c>
      <c r="B27" s="10" t="s">
        <v>264</v>
      </c>
      <c r="C27" s="15">
        <v>383350</v>
      </c>
      <c r="D27" s="20"/>
      <c r="E27" s="16"/>
      <c r="F27" s="19"/>
      <c r="G27" s="20"/>
      <c r="H27" s="20"/>
      <c r="I27" s="20"/>
    </row>
    <row r="28" spans="1:9">
      <c r="A28">
        <v>2017</v>
      </c>
      <c r="B28" s="10" t="s">
        <v>15</v>
      </c>
      <c r="D28" s="16"/>
      <c r="E28" s="16"/>
      <c r="F28" s="19"/>
      <c r="G28" s="16"/>
      <c r="H28" s="20"/>
      <c r="I28" s="20"/>
    </row>
    <row r="29" spans="1:9">
      <c r="A29">
        <v>2017</v>
      </c>
      <c r="B29" s="10" t="s">
        <v>16</v>
      </c>
      <c r="C29" s="15">
        <v>156431</v>
      </c>
      <c r="D29" s="20"/>
      <c r="E29" s="16"/>
      <c r="F29" s="19"/>
      <c r="G29" s="20"/>
      <c r="H29" s="20"/>
      <c r="I29" s="20"/>
    </row>
    <row r="30" spans="1:9">
      <c r="A30">
        <v>2017</v>
      </c>
      <c r="B30" s="10" t="s">
        <v>17</v>
      </c>
      <c r="C30" s="15">
        <v>48411</v>
      </c>
      <c r="D30" s="20"/>
      <c r="E30" s="16"/>
      <c r="F30" s="19"/>
      <c r="G30" s="20"/>
      <c r="H30" s="20"/>
      <c r="I30" s="20"/>
    </row>
    <row r="31" spans="1:9">
      <c r="A31">
        <v>2017</v>
      </c>
      <c r="B31" s="10" t="s">
        <v>18</v>
      </c>
      <c r="D31" s="16"/>
      <c r="E31" s="16"/>
      <c r="F31" s="19"/>
      <c r="G31" s="16"/>
      <c r="H31" s="20"/>
      <c r="I31" s="20"/>
    </row>
    <row r="32" spans="1:9">
      <c r="A32">
        <v>2017</v>
      </c>
      <c r="B32" s="10" t="s">
        <v>19</v>
      </c>
      <c r="C32" s="15">
        <v>559102</v>
      </c>
      <c r="D32" s="20"/>
      <c r="E32" s="16"/>
      <c r="F32" s="19"/>
      <c r="G32" s="20"/>
      <c r="H32" s="20"/>
      <c r="I32" s="20"/>
    </row>
    <row r="33" spans="1:9">
      <c r="A33">
        <v>2017</v>
      </c>
      <c r="B33" s="10" t="s">
        <v>219</v>
      </c>
      <c r="C33" s="15">
        <v>853460</v>
      </c>
      <c r="D33" s="20"/>
      <c r="E33" s="16"/>
      <c r="F33" s="19"/>
      <c r="G33" s="20"/>
      <c r="H33" s="20"/>
      <c r="I33" s="20"/>
    </row>
    <row r="34" spans="1:9">
      <c r="A34">
        <v>2017</v>
      </c>
      <c r="B34" s="10" t="s">
        <v>20</v>
      </c>
      <c r="D34" s="16"/>
      <c r="E34" s="16"/>
      <c r="F34" s="19"/>
      <c r="G34" s="16"/>
      <c r="H34" s="20"/>
      <c r="I34" s="20"/>
    </row>
    <row r="35" spans="1:9">
      <c r="A35">
        <v>2017</v>
      </c>
      <c r="B35" s="10" t="s">
        <v>21</v>
      </c>
      <c r="C35" s="15">
        <v>65937</v>
      </c>
      <c r="D35" s="20"/>
      <c r="E35" s="16"/>
      <c r="F35" s="19"/>
      <c r="G35" s="20"/>
      <c r="H35" s="20"/>
      <c r="I35" s="20"/>
    </row>
    <row r="36" spans="1:9">
      <c r="A36">
        <v>2017</v>
      </c>
      <c r="B36" s="10" t="s">
        <v>22</v>
      </c>
      <c r="C36" s="15">
        <v>75565</v>
      </c>
      <c r="D36" s="20"/>
      <c r="E36" s="16"/>
      <c r="F36" s="19"/>
      <c r="G36" s="20"/>
      <c r="H36" s="20"/>
      <c r="I36" s="20"/>
    </row>
    <row r="37" spans="1:9">
      <c r="A37">
        <v>2017</v>
      </c>
      <c r="B37" s="10" t="s">
        <v>23</v>
      </c>
      <c r="C37" s="15">
        <v>203367</v>
      </c>
      <c r="D37" s="20"/>
      <c r="E37" s="16"/>
      <c r="F37" s="19"/>
      <c r="G37" s="20"/>
      <c r="H37" s="20"/>
      <c r="I37" s="20"/>
    </row>
    <row r="38" spans="1:9">
      <c r="A38">
        <v>2017</v>
      </c>
      <c r="B38" s="10" t="s">
        <v>24</v>
      </c>
      <c r="C38" s="15">
        <v>38686</v>
      </c>
      <c r="D38" s="20"/>
      <c r="E38" s="16"/>
      <c r="F38" s="19"/>
      <c r="G38" s="20"/>
      <c r="H38" s="20"/>
      <c r="I38" s="16"/>
    </row>
    <row r="39" spans="1:9">
      <c r="A39">
        <v>2017</v>
      </c>
      <c r="B39" s="10" t="s">
        <v>25</v>
      </c>
      <c r="C39" s="15">
        <v>68630</v>
      </c>
      <c r="D39" s="20"/>
      <c r="E39" s="16"/>
      <c r="F39" s="19"/>
      <c r="G39" s="20"/>
      <c r="H39" s="20"/>
      <c r="I39" s="20"/>
    </row>
    <row r="40" spans="1:9">
      <c r="A40">
        <v>2017</v>
      </c>
      <c r="B40" s="10" t="s">
        <v>26</v>
      </c>
      <c r="C40" s="15">
        <v>134752</v>
      </c>
      <c r="D40" s="20"/>
      <c r="E40" s="16"/>
      <c r="F40" s="19"/>
      <c r="G40" s="20"/>
      <c r="H40" s="20"/>
      <c r="I40" s="20"/>
    </row>
    <row r="41" spans="1:9">
      <c r="A41">
        <v>2017</v>
      </c>
      <c r="B41" s="10" t="s">
        <v>27</v>
      </c>
      <c r="C41" s="15">
        <v>3576586</v>
      </c>
      <c r="D41" s="20"/>
      <c r="E41" s="16"/>
      <c r="F41" s="19"/>
      <c r="G41" s="20"/>
      <c r="H41" s="20"/>
      <c r="I41" s="20"/>
    </row>
    <row r="42" spans="1:9">
      <c r="A42">
        <v>2017</v>
      </c>
      <c r="B42" s="10" t="s">
        <v>197</v>
      </c>
      <c r="C42" s="15">
        <v>612011</v>
      </c>
      <c r="D42" s="20"/>
      <c r="E42" s="16"/>
      <c r="F42" s="19"/>
      <c r="G42" s="20"/>
      <c r="H42" s="20"/>
      <c r="I42" s="20"/>
    </row>
    <row r="43" spans="1:9">
      <c r="A43">
        <v>2017</v>
      </c>
      <c r="B43" s="10" t="s">
        <v>28</v>
      </c>
      <c r="C43" s="15">
        <v>151041</v>
      </c>
      <c r="D43" s="20"/>
      <c r="E43" s="16"/>
      <c r="F43" s="19"/>
      <c r="G43" s="20"/>
      <c r="H43" s="20"/>
      <c r="I43" s="20"/>
    </row>
    <row r="44" spans="1:9">
      <c r="A44">
        <v>2017</v>
      </c>
      <c r="B44" s="10" t="s">
        <v>29</v>
      </c>
      <c r="C44" s="15">
        <v>94559</v>
      </c>
      <c r="D44" s="20"/>
      <c r="E44" s="16"/>
      <c r="F44" s="19"/>
      <c r="G44" s="20"/>
      <c r="H44" s="20"/>
      <c r="I44" s="20"/>
    </row>
    <row r="45" spans="1:9">
      <c r="A45">
        <v>2017</v>
      </c>
      <c r="B45" s="10" t="s">
        <v>241</v>
      </c>
      <c r="C45" s="15">
        <v>140756</v>
      </c>
      <c r="D45" s="20"/>
      <c r="E45" s="16"/>
      <c r="F45" s="19"/>
      <c r="G45" s="20"/>
      <c r="H45" s="20"/>
      <c r="I45" s="20"/>
    </row>
    <row r="46" spans="1:9">
      <c r="A46">
        <v>2017</v>
      </c>
      <c r="B46" s="10" t="s">
        <v>252</v>
      </c>
      <c r="C46" s="15">
        <v>228218</v>
      </c>
      <c r="D46" s="20"/>
      <c r="E46" s="16"/>
      <c r="F46" s="19"/>
      <c r="G46" s="20"/>
      <c r="H46" s="20"/>
      <c r="I46" s="20"/>
    </row>
    <row r="47" spans="1:9">
      <c r="A47">
        <v>2017</v>
      </c>
      <c r="B47" s="10" t="s">
        <v>30</v>
      </c>
      <c r="C47" s="15">
        <v>198645</v>
      </c>
      <c r="D47" s="20"/>
      <c r="E47" s="16"/>
      <c r="F47" s="19"/>
      <c r="G47" s="20"/>
      <c r="H47" s="20"/>
      <c r="I47" s="20"/>
    </row>
    <row r="48" spans="1:9">
      <c r="A48">
        <v>2017</v>
      </c>
      <c r="B48" s="10" t="s">
        <v>31</v>
      </c>
      <c r="C48" s="15">
        <v>182430</v>
      </c>
      <c r="D48" s="20"/>
      <c r="E48" s="16"/>
      <c r="F48" s="19"/>
      <c r="G48" s="20"/>
      <c r="H48" s="20"/>
      <c r="I48" s="20"/>
    </row>
    <row r="49" spans="1:9">
      <c r="A49">
        <v>2017</v>
      </c>
      <c r="B49" s="10" t="s">
        <v>32</v>
      </c>
      <c r="C49" s="15">
        <v>220219</v>
      </c>
      <c r="D49" s="20"/>
      <c r="E49" s="16"/>
      <c r="F49" s="19"/>
      <c r="G49" s="20"/>
      <c r="H49" s="20"/>
      <c r="I49" s="20"/>
    </row>
    <row r="50" spans="1:9">
      <c r="A50">
        <v>2017</v>
      </c>
      <c r="B50" s="10" t="s">
        <v>33</v>
      </c>
      <c r="C50" s="15">
        <v>70696</v>
      </c>
      <c r="D50" s="20"/>
      <c r="E50" s="16"/>
      <c r="F50" s="19"/>
      <c r="G50" s="20"/>
      <c r="H50" s="20"/>
      <c r="I50" s="20"/>
    </row>
    <row r="51" spans="1:9">
      <c r="A51">
        <v>2017</v>
      </c>
      <c r="B51" s="10" t="s">
        <v>229</v>
      </c>
      <c r="C51" s="15">
        <v>928793</v>
      </c>
      <c r="D51" s="20"/>
      <c r="E51" s="16"/>
      <c r="F51" s="19"/>
      <c r="G51" s="20"/>
      <c r="H51" s="20"/>
      <c r="I51" s="20"/>
    </row>
    <row r="52" spans="1:9">
      <c r="A52">
        <v>2017</v>
      </c>
      <c r="B52" s="10" t="s">
        <v>34</v>
      </c>
      <c r="C52" s="15">
        <v>87043</v>
      </c>
      <c r="D52" s="20"/>
      <c r="E52" s="16"/>
      <c r="F52" s="19"/>
      <c r="G52" s="20"/>
      <c r="H52" s="20"/>
      <c r="I52" s="20"/>
    </row>
    <row r="53" spans="1:9">
      <c r="A53">
        <v>2017</v>
      </c>
      <c r="B53" s="10" t="s">
        <v>35</v>
      </c>
      <c r="C53" s="15">
        <v>314245</v>
      </c>
      <c r="D53" s="20"/>
      <c r="E53" s="16"/>
      <c r="F53" s="19"/>
      <c r="G53" s="20"/>
      <c r="H53" s="20"/>
      <c r="I53" s="20"/>
    </row>
    <row r="54" spans="1:9">
      <c r="A54">
        <v>2017</v>
      </c>
      <c r="B54" s="10" t="s">
        <v>36</v>
      </c>
      <c r="C54" s="15">
        <v>139232</v>
      </c>
      <c r="D54" s="20"/>
      <c r="E54" s="16"/>
      <c r="F54" s="19"/>
      <c r="G54" s="20"/>
      <c r="H54" s="20"/>
      <c r="I54" s="20"/>
    </row>
    <row r="55" spans="1:9">
      <c r="A55">
        <v>2017</v>
      </c>
      <c r="B55" s="10" t="s">
        <v>222</v>
      </c>
      <c r="C55" s="15">
        <v>49914</v>
      </c>
      <c r="D55" s="20"/>
      <c r="E55" s="16"/>
      <c r="F55" s="19"/>
      <c r="G55" s="20"/>
      <c r="H55" s="20"/>
      <c r="I55" s="20"/>
    </row>
    <row r="56" spans="1:9">
      <c r="A56">
        <v>2017</v>
      </c>
      <c r="B56" s="10" t="s">
        <v>234</v>
      </c>
      <c r="C56" s="15">
        <v>543843</v>
      </c>
      <c r="D56" s="20"/>
      <c r="E56" s="16"/>
      <c r="F56" s="19"/>
      <c r="G56" s="20"/>
      <c r="H56" s="20"/>
      <c r="I56" s="20"/>
    </row>
    <row r="57" spans="1:9">
      <c r="A57">
        <v>2017</v>
      </c>
      <c r="B57" s="10" t="s">
        <v>231</v>
      </c>
      <c r="C57" s="15">
        <v>878073</v>
      </c>
      <c r="D57" s="20"/>
      <c r="E57" s="16"/>
      <c r="F57" s="19"/>
      <c r="G57" s="20"/>
      <c r="H57" s="20"/>
      <c r="I57" s="20"/>
    </row>
    <row r="58" spans="1:9">
      <c r="A58">
        <v>2017</v>
      </c>
      <c r="B58" s="10" t="s">
        <v>37</v>
      </c>
      <c r="D58" s="16"/>
      <c r="E58" s="16"/>
      <c r="F58" s="19"/>
      <c r="G58" s="16"/>
      <c r="H58" s="20"/>
      <c r="I58" s="20"/>
    </row>
    <row r="59" spans="1:9">
      <c r="A59">
        <v>2017</v>
      </c>
      <c r="B59" s="10" t="s">
        <v>38</v>
      </c>
      <c r="C59" s="15">
        <v>1908810</v>
      </c>
      <c r="D59" s="20"/>
      <c r="E59" s="16"/>
      <c r="F59" s="19"/>
      <c r="G59" s="20"/>
      <c r="H59" s="20"/>
      <c r="I59" s="20"/>
    </row>
    <row r="60" spans="1:9">
      <c r="A60">
        <v>2017</v>
      </c>
      <c r="B60" s="10" t="s">
        <v>39</v>
      </c>
      <c r="C60" s="15">
        <v>94548</v>
      </c>
      <c r="D60" s="20"/>
      <c r="E60" s="16"/>
      <c r="F60" s="19"/>
      <c r="G60" s="20"/>
      <c r="H60" s="20"/>
      <c r="I60" s="20"/>
    </row>
    <row r="61" spans="1:9">
      <c r="A61">
        <v>2017</v>
      </c>
      <c r="B61" s="10" t="s">
        <v>40</v>
      </c>
      <c r="C61" s="15">
        <v>72805</v>
      </c>
      <c r="D61" s="20"/>
      <c r="E61" s="16"/>
      <c r="F61" s="19"/>
      <c r="G61" s="20"/>
      <c r="H61" s="20"/>
      <c r="I61" s="20"/>
    </row>
    <row r="62" spans="1:9">
      <c r="A62">
        <v>2017</v>
      </c>
      <c r="B62" s="10" t="s">
        <v>41</v>
      </c>
      <c r="C62" s="15">
        <v>79699</v>
      </c>
      <c r="D62" s="20"/>
      <c r="E62" s="16"/>
      <c r="F62" s="19"/>
      <c r="G62" s="20"/>
      <c r="H62" s="20"/>
      <c r="I62" s="20"/>
    </row>
    <row r="63" spans="1:9">
      <c r="A63">
        <v>2017</v>
      </c>
      <c r="B63" s="10" t="s">
        <v>42</v>
      </c>
      <c r="C63" s="15">
        <v>120352</v>
      </c>
      <c r="D63" s="20"/>
      <c r="E63" s="16"/>
      <c r="F63" s="19"/>
      <c r="G63" s="20"/>
      <c r="H63" s="20"/>
      <c r="I63" s="20"/>
    </row>
    <row r="64" spans="1:9">
      <c r="A64">
        <v>2017</v>
      </c>
      <c r="B64" s="10" t="s">
        <v>43</v>
      </c>
      <c r="C64" s="15">
        <v>242330</v>
      </c>
      <c r="D64" s="20"/>
      <c r="E64" s="16"/>
      <c r="F64" s="19"/>
      <c r="G64" s="20"/>
      <c r="H64" s="20"/>
      <c r="I64" s="20"/>
    </row>
    <row r="65" spans="1:9">
      <c r="A65">
        <v>2017</v>
      </c>
      <c r="B65" s="10" t="s">
        <v>203</v>
      </c>
      <c r="D65" s="16"/>
      <c r="E65" s="16"/>
      <c r="F65" s="19"/>
      <c r="G65" s="16"/>
      <c r="H65" s="20"/>
      <c r="I65" s="20"/>
    </row>
    <row r="66" spans="1:9">
      <c r="A66">
        <v>2017</v>
      </c>
      <c r="B66" s="10" t="s">
        <v>201</v>
      </c>
      <c r="C66" s="15">
        <v>19376</v>
      </c>
      <c r="D66" s="20"/>
      <c r="E66" s="16"/>
      <c r="F66" s="19"/>
      <c r="G66" s="20"/>
      <c r="H66" s="20"/>
      <c r="I66" s="20"/>
    </row>
    <row r="67" spans="1:9">
      <c r="A67">
        <v>2017</v>
      </c>
      <c r="B67" s="10" t="s">
        <v>202</v>
      </c>
      <c r="C67" s="15">
        <v>4551</v>
      </c>
      <c r="D67" s="20"/>
      <c r="E67" s="16"/>
      <c r="F67" s="19"/>
      <c r="G67" s="20"/>
      <c r="H67" s="20"/>
      <c r="I67" s="20"/>
    </row>
    <row r="68" spans="1:9">
      <c r="A68">
        <v>2017</v>
      </c>
      <c r="B68" s="10" t="s">
        <v>44</v>
      </c>
      <c r="C68" s="15">
        <v>239336</v>
      </c>
      <c r="D68" s="20"/>
      <c r="E68" s="16"/>
      <c r="F68" s="19"/>
      <c r="G68" s="20"/>
      <c r="H68" s="20"/>
      <c r="I68" s="20"/>
    </row>
    <row r="69" spans="1:9">
      <c r="A69">
        <v>2017</v>
      </c>
      <c r="B69" s="10" t="s">
        <v>45</v>
      </c>
      <c r="C69" s="15">
        <v>145732</v>
      </c>
      <c r="D69" s="20"/>
      <c r="E69" s="16"/>
      <c r="F69" s="19"/>
      <c r="G69" s="20"/>
      <c r="H69" s="20"/>
      <c r="I69" s="20"/>
    </row>
    <row r="70" spans="1:9">
      <c r="A70">
        <v>2017</v>
      </c>
      <c r="B70" s="10" t="s">
        <v>46</v>
      </c>
      <c r="C70" s="15">
        <v>75325</v>
      </c>
      <c r="D70" s="20"/>
      <c r="E70" s="16"/>
      <c r="F70" s="19"/>
      <c r="G70" s="20"/>
      <c r="H70" s="20"/>
      <c r="I70" s="20"/>
    </row>
    <row r="71" spans="1:9">
      <c r="A71">
        <v>2017</v>
      </c>
      <c r="B71" s="10" t="s">
        <v>47</v>
      </c>
      <c r="C71" s="15">
        <v>136408</v>
      </c>
      <c r="D71" s="20"/>
      <c r="E71" s="16"/>
      <c r="F71" s="19"/>
      <c r="G71" s="20"/>
      <c r="H71" s="20"/>
      <c r="I71" s="20"/>
    </row>
    <row r="72" spans="1:9">
      <c r="A72">
        <v>2017</v>
      </c>
      <c r="B72" s="10" t="s">
        <v>48</v>
      </c>
      <c r="C72" s="15">
        <v>157122</v>
      </c>
      <c r="D72" s="20"/>
      <c r="E72" s="16"/>
      <c r="F72" s="19"/>
      <c r="G72" s="20"/>
      <c r="H72" s="20"/>
      <c r="I72" s="20"/>
    </row>
    <row r="73" spans="1:9">
      <c r="A73">
        <v>2017</v>
      </c>
      <c r="B73" s="10" t="s">
        <v>49</v>
      </c>
      <c r="C73" s="15">
        <v>96518</v>
      </c>
      <c r="D73" s="20"/>
      <c r="E73" s="16"/>
      <c r="F73" s="19"/>
      <c r="G73" s="20"/>
      <c r="H73" s="20"/>
      <c r="I73" s="20"/>
    </row>
    <row r="74" spans="1:9">
      <c r="A74">
        <v>2017</v>
      </c>
      <c r="B74" s="10" t="s">
        <v>302</v>
      </c>
      <c r="C74" s="15">
        <v>576710</v>
      </c>
      <c r="D74" s="20"/>
      <c r="E74" s="16"/>
      <c r="F74" s="19"/>
      <c r="G74" s="20"/>
      <c r="H74" s="20"/>
      <c r="I74" s="20"/>
    </row>
    <row r="75" spans="1:9">
      <c r="A75">
        <v>2017</v>
      </c>
      <c r="B75" s="10" t="s">
        <v>50</v>
      </c>
      <c r="D75" s="16"/>
      <c r="E75" s="16"/>
      <c r="F75" s="19"/>
      <c r="G75" s="16"/>
      <c r="H75" s="20"/>
      <c r="I75" s="20"/>
    </row>
    <row r="76" spans="1:9">
      <c r="A76">
        <v>2017</v>
      </c>
      <c r="B76" s="10" t="s">
        <v>51</v>
      </c>
      <c r="C76" s="15">
        <v>465805</v>
      </c>
      <c r="D76" s="20"/>
      <c r="E76" s="16"/>
      <c r="F76" s="19"/>
      <c r="G76" s="20"/>
      <c r="H76" s="20"/>
      <c r="I76" s="20"/>
    </row>
    <row r="77" spans="1:9">
      <c r="A77">
        <v>2017</v>
      </c>
      <c r="B77" s="10" t="s">
        <v>240</v>
      </c>
      <c r="C77" s="15">
        <v>148184</v>
      </c>
      <c r="D77" s="20"/>
      <c r="E77" s="16"/>
      <c r="F77" s="19"/>
      <c r="G77" s="20"/>
      <c r="H77" s="20"/>
      <c r="I77" s="20"/>
    </row>
    <row r="78" spans="1:9">
      <c r="A78">
        <v>2017</v>
      </c>
      <c r="B78" s="10" t="s">
        <v>52</v>
      </c>
      <c r="C78" s="15">
        <v>1601454</v>
      </c>
      <c r="D78" s="20"/>
      <c r="E78" s="16"/>
      <c r="F78" s="19"/>
      <c r="G78" s="20"/>
      <c r="H78" s="20"/>
      <c r="I78" s="20"/>
    </row>
    <row r="79" spans="1:9">
      <c r="A79">
        <v>2017</v>
      </c>
      <c r="B79" s="10" t="s">
        <v>53</v>
      </c>
      <c r="C79" s="15">
        <v>995648</v>
      </c>
      <c r="D79" s="20"/>
      <c r="E79" s="16"/>
      <c r="F79" s="19"/>
      <c r="G79" s="20"/>
      <c r="H79" s="20"/>
      <c r="I79" s="20"/>
    </row>
    <row r="80" spans="1:9">
      <c r="A80">
        <v>2017</v>
      </c>
      <c r="B80" s="10" t="s">
        <v>54</v>
      </c>
      <c r="C80" s="15">
        <v>1214481</v>
      </c>
      <c r="D80" s="20"/>
      <c r="E80" s="16"/>
      <c r="F80" s="19"/>
      <c r="G80" s="20"/>
      <c r="H80" s="20"/>
      <c r="I80" s="20"/>
    </row>
    <row r="81" spans="1:9">
      <c r="A81">
        <v>2017</v>
      </c>
      <c r="B81" s="10" t="s">
        <v>55</v>
      </c>
      <c r="C81" s="15">
        <v>217054</v>
      </c>
      <c r="D81" s="20"/>
      <c r="E81" s="16"/>
      <c r="F81" s="19"/>
      <c r="G81" s="20"/>
      <c r="H81" s="20"/>
      <c r="I81" s="20"/>
    </row>
    <row r="82" spans="1:9">
      <c r="A82">
        <v>2017</v>
      </c>
      <c r="B82" s="10" t="s">
        <v>228</v>
      </c>
      <c r="C82" s="15">
        <v>315481</v>
      </c>
      <c r="D82" s="20"/>
      <c r="E82" s="16"/>
      <c r="F82" s="19"/>
      <c r="G82" s="20"/>
      <c r="H82" s="20"/>
      <c r="I82" s="20"/>
    </row>
    <row r="83" spans="1:9">
      <c r="A83">
        <v>2017</v>
      </c>
      <c r="B83" s="10" t="s">
        <v>56</v>
      </c>
      <c r="C83" s="15">
        <v>522820</v>
      </c>
      <c r="D83" s="20"/>
      <c r="E83" s="16"/>
      <c r="F83" s="19"/>
      <c r="G83" s="20"/>
      <c r="H83" s="20"/>
      <c r="I83" s="20"/>
    </row>
    <row r="84" spans="1:9">
      <c r="A84">
        <v>2017</v>
      </c>
      <c r="B84" s="10" t="s">
        <v>57</v>
      </c>
      <c r="C84" s="15">
        <v>147238</v>
      </c>
      <c r="D84" s="20"/>
      <c r="E84" s="16"/>
      <c r="F84" s="19"/>
      <c r="G84" s="20"/>
      <c r="H84" s="20"/>
      <c r="I84" s="20"/>
    </row>
    <row r="85" spans="1:9">
      <c r="A85">
        <v>2017</v>
      </c>
      <c r="B85" s="10" t="s">
        <v>58</v>
      </c>
      <c r="C85" s="15">
        <v>89421</v>
      </c>
      <c r="D85" s="20"/>
      <c r="E85" s="16"/>
      <c r="F85" s="19"/>
      <c r="G85" s="20"/>
      <c r="H85" s="20"/>
      <c r="I85" s="20"/>
    </row>
    <row r="86" spans="1:9">
      <c r="A86">
        <v>2017</v>
      </c>
      <c r="B86" s="10" t="s">
        <v>59</v>
      </c>
      <c r="C86" s="15">
        <v>123213</v>
      </c>
      <c r="D86" s="20"/>
      <c r="E86" s="16"/>
      <c r="F86" s="19"/>
      <c r="G86" s="20"/>
      <c r="H86" s="20"/>
      <c r="I86" s="20"/>
    </row>
    <row r="87" spans="1:9">
      <c r="A87">
        <v>2017</v>
      </c>
      <c r="B87" s="10" t="s">
        <v>60</v>
      </c>
      <c r="C87" s="15">
        <v>99367</v>
      </c>
      <c r="D87" s="20"/>
      <c r="E87" s="16"/>
      <c r="F87" s="19"/>
      <c r="G87" s="20"/>
      <c r="H87" s="20"/>
      <c r="I87" s="20"/>
    </row>
    <row r="88" spans="1:9">
      <c r="A88">
        <v>2017</v>
      </c>
      <c r="B88" s="10" t="s">
        <v>282</v>
      </c>
      <c r="C88" s="15">
        <v>568836</v>
      </c>
      <c r="D88" s="20"/>
      <c r="E88" s="16"/>
      <c r="F88" s="19"/>
      <c r="G88" s="20"/>
      <c r="H88" s="20"/>
      <c r="I88" s="20"/>
    </row>
    <row r="89" spans="1:9">
      <c r="A89">
        <v>2017</v>
      </c>
      <c r="B89" s="10" t="s">
        <v>237</v>
      </c>
      <c r="C89" s="15">
        <v>309005</v>
      </c>
      <c r="D89" s="20"/>
      <c r="E89" s="16"/>
      <c r="F89" s="19"/>
      <c r="G89" s="20"/>
      <c r="H89" s="20"/>
      <c r="I89" s="20"/>
    </row>
    <row r="90" spans="1:9">
      <c r="A90">
        <v>2017</v>
      </c>
      <c r="B90" s="10" t="s">
        <v>235</v>
      </c>
      <c r="C90" s="15">
        <v>416270</v>
      </c>
      <c r="D90" s="20"/>
      <c r="E90" s="16"/>
      <c r="F90" s="19"/>
      <c r="G90" s="20"/>
      <c r="H90" s="20"/>
      <c r="I90" s="20"/>
    </row>
    <row r="91" spans="1:9">
      <c r="A91">
        <v>2017</v>
      </c>
      <c r="B91" s="10" t="s">
        <v>61</v>
      </c>
      <c r="C91" s="15">
        <v>66336</v>
      </c>
      <c r="D91" s="20"/>
      <c r="E91" s="16"/>
      <c r="F91" s="19"/>
      <c r="G91" s="20"/>
      <c r="H91" s="20"/>
      <c r="I91" s="20"/>
    </row>
    <row r="92" spans="1:9">
      <c r="A92">
        <v>2017</v>
      </c>
      <c r="B92" s="10" t="s">
        <v>253</v>
      </c>
      <c r="C92" s="15">
        <v>225106</v>
      </c>
      <c r="D92" s="20"/>
      <c r="E92" s="16"/>
      <c r="F92" s="19"/>
      <c r="G92" s="20"/>
      <c r="H92" s="20"/>
      <c r="I92" s="20"/>
    </row>
    <row r="93" spans="1:9">
      <c r="A93">
        <v>2017</v>
      </c>
      <c r="B93" s="10" t="s">
        <v>62</v>
      </c>
      <c r="C93" s="15">
        <v>419683</v>
      </c>
      <c r="D93" s="20"/>
      <c r="E93" s="16"/>
      <c r="F93" s="19"/>
      <c r="G93" s="20"/>
      <c r="H93" s="20"/>
      <c r="I93" s="20"/>
    </row>
    <row r="94" spans="1:9">
      <c r="A94">
        <v>2017</v>
      </c>
      <c r="B94" s="10" t="s">
        <v>63</v>
      </c>
      <c r="C94" s="15">
        <v>75439</v>
      </c>
      <c r="D94" s="20"/>
      <c r="E94" s="16"/>
      <c r="F94" s="19"/>
      <c r="G94" s="20"/>
      <c r="H94" s="20"/>
      <c r="I94" s="20"/>
    </row>
    <row r="95" spans="1:9">
      <c r="A95">
        <v>2017</v>
      </c>
      <c r="B95" s="10" t="s">
        <v>64</v>
      </c>
      <c r="C95" s="15">
        <v>66294</v>
      </c>
      <c r="D95" s="20"/>
      <c r="E95" s="16"/>
      <c r="F95" s="19"/>
      <c r="G95" s="20"/>
      <c r="H95" s="20"/>
      <c r="I95" s="20"/>
    </row>
    <row r="96" spans="1:9">
      <c r="A96">
        <v>2017</v>
      </c>
      <c r="B96" s="10" t="s">
        <v>65</v>
      </c>
      <c r="C96" s="15">
        <v>133629</v>
      </c>
      <c r="D96" s="20"/>
      <c r="E96" s="16"/>
      <c r="F96" s="19"/>
      <c r="G96" s="20"/>
      <c r="H96" s="20"/>
      <c r="I96" s="20"/>
    </row>
    <row r="97" spans="1:9">
      <c r="A97">
        <v>2017</v>
      </c>
      <c r="B97" s="10" t="s">
        <v>208</v>
      </c>
      <c r="C97" s="15">
        <v>129256</v>
      </c>
      <c r="D97" s="20"/>
      <c r="E97" s="16"/>
      <c r="F97" s="19"/>
      <c r="G97" s="20"/>
      <c r="H97" s="20"/>
      <c r="I97" s="20"/>
    </row>
    <row r="98" spans="1:9">
      <c r="A98">
        <v>2017</v>
      </c>
      <c r="B98" s="10" t="s">
        <v>265</v>
      </c>
      <c r="C98" s="15">
        <v>239060</v>
      </c>
      <c r="D98" s="20"/>
      <c r="E98" s="16"/>
      <c r="F98" s="19"/>
      <c r="G98" s="20"/>
      <c r="H98" s="20"/>
      <c r="I98" s="20"/>
    </row>
    <row r="99" spans="1:9">
      <c r="A99">
        <v>2017</v>
      </c>
      <c r="B99" s="10" t="s">
        <v>67</v>
      </c>
      <c r="D99" s="16"/>
      <c r="E99" s="16"/>
      <c r="F99" s="19"/>
      <c r="G99" s="16"/>
      <c r="H99" s="20"/>
      <c r="I99" s="20"/>
    </row>
    <row r="100" spans="1:9">
      <c r="A100">
        <v>2017</v>
      </c>
      <c r="B100" s="10" t="s">
        <v>68</v>
      </c>
      <c r="C100" s="15">
        <v>107833</v>
      </c>
      <c r="D100" s="20"/>
      <c r="E100" s="16"/>
      <c r="F100" s="19"/>
      <c r="G100" s="20"/>
      <c r="H100" s="20"/>
      <c r="I100" s="20"/>
    </row>
    <row r="101" spans="1:9">
      <c r="A101">
        <v>2017</v>
      </c>
      <c r="B101" s="10" t="s">
        <v>69</v>
      </c>
      <c r="C101" s="15">
        <v>33887</v>
      </c>
      <c r="D101" s="20"/>
      <c r="E101" s="16"/>
      <c r="F101" s="19"/>
      <c r="G101" s="20"/>
      <c r="H101" s="20"/>
      <c r="I101" s="20"/>
    </row>
    <row r="102" spans="1:9">
      <c r="A102">
        <v>2017</v>
      </c>
      <c r="B102" s="10" t="s">
        <v>289</v>
      </c>
      <c r="C102" s="15">
        <v>163139</v>
      </c>
      <c r="D102" s="20"/>
      <c r="E102" s="16"/>
      <c r="F102" s="19"/>
      <c r="G102" s="20"/>
      <c r="H102" s="20"/>
      <c r="I102" s="20"/>
    </row>
    <row r="103" spans="1:9">
      <c r="A103">
        <v>2017</v>
      </c>
      <c r="B103" s="10" t="s">
        <v>70</v>
      </c>
      <c r="C103" s="15">
        <v>144880</v>
      </c>
      <c r="D103" s="20"/>
      <c r="E103" s="16"/>
      <c r="F103" s="19"/>
      <c r="G103" s="20"/>
      <c r="H103" s="20"/>
      <c r="I103" s="20"/>
    </row>
    <row r="104" spans="1:9">
      <c r="A104">
        <v>2017</v>
      </c>
      <c r="B104" s="10" t="s">
        <v>71</v>
      </c>
      <c r="C104" s="15">
        <v>1756593</v>
      </c>
      <c r="D104" s="20"/>
      <c r="E104" s="16"/>
      <c r="F104" s="19"/>
      <c r="G104" s="20"/>
      <c r="H104" s="20"/>
      <c r="I104" s="20"/>
    </row>
    <row r="105" spans="1:9">
      <c r="A105">
        <v>2017</v>
      </c>
      <c r="B105" s="10" t="s">
        <v>72</v>
      </c>
      <c r="C105" s="15">
        <v>210214</v>
      </c>
      <c r="D105" s="20"/>
      <c r="E105" s="16"/>
      <c r="F105" s="19"/>
      <c r="G105" s="20"/>
      <c r="H105" s="20"/>
      <c r="I105" s="20"/>
    </row>
    <row r="106" spans="1:9">
      <c r="A106">
        <v>2017</v>
      </c>
      <c r="B106" s="10" t="s">
        <v>239</v>
      </c>
      <c r="C106" s="15">
        <v>538603</v>
      </c>
      <c r="D106" s="20"/>
      <c r="E106" s="16"/>
      <c r="F106" s="19"/>
      <c r="G106" s="20"/>
      <c r="H106" s="20"/>
      <c r="I106" s="20"/>
    </row>
    <row r="107" spans="1:9">
      <c r="A107">
        <v>2017</v>
      </c>
      <c r="B107" s="10" t="s">
        <v>262</v>
      </c>
      <c r="C107" s="15">
        <v>247439</v>
      </c>
      <c r="D107" s="20"/>
      <c r="E107" s="16"/>
      <c r="F107" s="19"/>
      <c r="G107" s="20"/>
      <c r="H107" s="20"/>
      <c r="I107" s="20"/>
    </row>
    <row r="108" spans="1:9">
      <c r="A108">
        <v>2017</v>
      </c>
      <c r="B108" s="10" t="s">
        <v>73</v>
      </c>
      <c r="C108" s="15">
        <v>213988</v>
      </c>
      <c r="D108" s="20"/>
      <c r="E108" s="16"/>
      <c r="F108" s="19"/>
      <c r="G108" s="20"/>
      <c r="H108" s="20"/>
      <c r="I108" s="20"/>
    </row>
    <row r="109" spans="1:9">
      <c r="A109">
        <v>2017</v>
      </c>
      <c r="B109" s="10" t="s">
        <v>74</v>
      </c>
      <c r="C109" s="15">
        <v>353196</v>
      </c>
      <c r="D109" s="20"/>
      <c r="E109" s="16"/>
      <c r="F109" s="19"/>
      <c r="G109" s="20"/>
      <c r="H109" s="20"/>
      <c r="I109" s="20"/>
    </row>
    <row r="110" spans="1:9">
      <c r="A110">
        <v>2017</v>
      </c>
      <c r="B110" s="10" t="s">
        <v>75</v>
      </c>
      <c r="C110" s="15">
        <v>32935</v>
      </c>
      <c r="D110" s="20"/>
      <c r="E110" s="16"/>
      <c r="F110" s="19"/>
      <c r="G110" s="20"/>
      <c r="H110" s="20"/>
      <c r="I110" s="20"/>
    </row>
    <row r="111" spans="1:9">
      <c r="A111">
        <v>2017</v>
      </c>
      <c r="B111" s="10" t="s">
        <v>76</v>
      </c>
      <c r="C111" s="15">
        <v>76197</v>
      </c>
      <c r="D111" s="20"/>
      <c r="E111" s="16"/>
      <c r="F111" s="19"/>
      <c r="G111" s="20"/>
      <c r="H111" s="20"/>
      <c r="I111" s="20"/>
    </row>
    <row r="112" spans="1:9">
      <c r="A112">
        <v>2017</v>
      </c>
      <c r="B112" s="10" t="s">
        <v>77</v>
      </c>
      <c r="C112" s="15">
        <v>132644</v>
      </c>
      <c r="D112" s="20"/>
      <c r="E112" s="16"/>
      <c r="F112" s="19"/>
      <c r="G112" s="20"/>
      <c r="H112" s="20"/>
      <c r="I112" s="20"/>
    </row>
    <row r="113" spans="1:9">
      <c r="A113">
        <v>2017</v>
      </c>
      <c r="B113" s="10" t="s">
        <v>78</v>
      </c>
      <c r="C113" s="15">
        <v>80334</v>
      </c>
      <c r="D113" s="20"/>
      <c r="E113" s="16"/>
      <c r="F113" s="19"/>
      <c r="G113" s="20"/>
      <c r="H113" s="20"/>
      <c r="I113" s="20"/>
    </row>
    <row r="114" spans="1:9">
      <c r="A114">
        <v>2017</v>
      </c>
      <c r="B114" s="10" t="s">
        <v>79</v>
      </c>
      <c r="C114" s="15">
        <v>25723</v>
      </c>
      <c r="D114" s="20"/>
      <c r="E114" s="16"/>
      <c r="F114" s="19"/>
      <c r="G114" s="20"/>
      <c r="H114" s="20"/>
      <c r="I114" s="20"/>
    </row>
    <row r="115" spans="1:9">
      <c r="A115">
        <v>2017</v>
      </c>
      <c r="B115" s="10" t="s">
        <v>80</v>
      </c>
      <c r="C115" s="15">
        <v>45052</v>
      </c>
      <c r="D115" s="20"/>
      <c r="E115" s="16"/>
      <c r="F115" s="19"/>
      <c r="G115" s="20"/>
      <c r="H115" s="20"/>
      <c r="I115" s="20"/>
    </row>
    <row r="116" spans="1:9">
      <c r="A116">
        <v>2017</v>
      </c>
      <c r="B116" s="10" t="s">
        <v>81</v>
      </c>
      <c r="C116" s="15">
        <v>59465</v>
      </c>
      <c r="D116" s="20"/>
      <c r="E116" s="16"/>
      <c r="F116" s="19"/>
      <c r="G116" s="20"/>
      <c r="H116" s="20"/>
      <c r="I116" s="20"/>
    </row>
    <row r="117" spans="1:9">
      <c r="A117">
        <v>2017</v>
      </c>
      <c r="B117" s="10" t="s">
        <v>82</v>
      </c>
      <c r="D117" s="16"/>
      <c r="E117" s="16"/>
      <c r="F117" s="19"/>
      <c r="G117" s="16"/>
      <c r="H117" s="20"/>
      <c r="I117" s="20"/>
    </row>
    <row r="118" spans="1:9">
      <c r="A118">
        <v>2017</v>
      </c>
      <c r="B118" s="10" t="s">
        <v>83</v>
      </c>
      <c r="C118" s="15">
        <v>144382</v>
      </c>
      <c r="D118" s="20"/>
      <c r="E118" s="16"/>
      <c r="F118" s="19"/>
      <c r="G118" s="20"/>
      <c r="H118" s="20"/>
      <c r="I118" s="20"/>
    </row>
    <row r="119" spans="1:9">
      <c r="A119">
        <v>2017</v>
      </c>
      <c r="B119" s="10" t="s">
        <v>246</v>
      </c>
      <c r="C119" s="15">
        <v>247468</v>
      </c>
      <c r="D119" s="20"/>
      <c r="E119" s="16"/>
      <c r="F119" s="19"/>
      <c r="G119" s="20"/>
      <c r="H119" s="20"/>
      <c r="I119" s="20"/>
    </row>
    <row r="120" spans="1:9">
      <c r="A120">
        <v>2017</v>
      </c>
      <c r="B120" s="10" t="s">
        <v>66</v>
      </c>
      <c r="C120" s="15">
        <v>53320</v>
      </c>
      <c r="D120" s="20"/>
      <c r="E120" s="16"/>
      <c r="F120" s="19"/>
      <c r="G120" s="20"/>
      <c r="H120" s="20"/>
      <c r="I120" s="20"/>
    </row>
    <row r="121" spans="1:9">
      <c r="A121">
        <v>2017</v>
      </c>
      <c r="B121" s="10" t="s">
        <v>255</v>
      </c>
      <c r="C121" s="15">
        <v>250296</v>
      </c>
      <c r="D121" s="20"/>
      <c r="E121" s="16"/>
      <c r="F121" s="19"/>
      <c r="G121" s="20"/>
      <c r="H121" s="20"/>
      <c r="I121" s="20"/>
    </row>
    <row r="122" spans="1:9">
      <c r="A122">
        <v>2017</v>
      </c>
      <c r="B122" s="10" t="s">
        <v>243</v>
      </c>
      <c r="C122" s="15">
        <v>228919</v>
      </c>
      <c r="D122" s="20"/>
      <c r="E122" s="16"/>
      <c r="F122" s="19"/>
      <c r="G122" s="20"/>
      <c r="H122" s="20"/>
      <c r="I122" s="20"/>
    </row>
    <row r="123" spans="1:9">
      <c r="A123">
        <v>2017</v>
      </c>
      <c r="B123" s="10" t="s">
        <v>248</v>
      </c>
      <c r="C123" s="15">
        <v>634968</v>
      </c>
      <c r="D123" s="20"/>
      <c r="E123" s="16"/>
      <c r="F123" s="19"/>
      <c r="G123" s="20"/>
      <c r="H123" s="20"/>
      <c r="I123" s="20"/>
    </row>
    <row r="124" spans="1:9">
      <c r="A124">
        <v>2017</v>
      </c>
      <c r="B124" s="10" t="s">
        <v>84</v>
      </c>
      <c r="D124" s="16"/>
      <c r="E124" s="16"/>
      <c r="F124" s="19"/>
      <c r="G124" s="16"/>
      <c r="H124" s="20"/>
      <c r="I124" s="20"/>
    </row>
    <row r="125" spans="1:9">
      <c r="A125">
        <v>2017</v>
      </c>
      <c r="B125" s="10" t="s">
        <v>261</v>
      </c>
      <c r="C125" s="15">
        <v>265370</v>
      </c>
      <c r="D125" s="20"/>
      <c r="E125" s="16"/>
      <c r="F125" s="19"/>
      <c r="G125" s="20"/>
      <c r="H125" s="20"/>
      <c r="I125" s="20"/>
    </row>
    <row r="126" spans="1:9">
      <c r="A126">
        <v>2017</v>
      </c>
      <c r="B126" s="10" t="s">
        <v>85</v>
      </c>
      <c r="C126" s="15">
        <v>85658</v>
      </c>
      <c r="D126" s="20"/>
      <c r="E126" s="16"/>
      <c r="F126" s="19"/>
      <c r="G126" s="20"/>
      <c r="H126" s="20"/>
      <c r="I126" s="20"/>
    </row>
    <row r="127" spans="1:9">
      <c r="A127">
        <v>2017</v>
      </c>
      <c r="B127" s="10" t="s">
        <v>86</v>
      </c>
      <c r="C127" s="15">
        <v>84406</v>
      </c>
      <c r="D127" s="20"/>
      <c r="E127" s="16"/>
      <c r="F127" s="19"/>
      <c r="G127" s="20"/>
      <c r="H127" s="20"/>
      <c r="I127" s="20"/>
    </row>
    <row r="128" spans="1:9">
      <c r="A128">
        <v>2017</v>
      </c>
      <c r="B128" s="10" t="s">
        <v>87</v>
      </c>
      <c r="C128" s="15">
        <v>91352</v>
      </c>
      <c r="D128" s="20"/>
      <c r="E128" s="16"/>
      <c r="F128" s="19"/>
      <c r="G128" s="20"/>
      <c r="H128" s="20"/>
      <c r="I128" s="20"/>
    </row>
    <row r="129" spans="1:9">
      <c r="A129">
        <v>2017</v>
      </c>
      <c r="B129" s="10" t="s">
        <v>88</v>
      </c>
      <c r="C129" s="15">
        <v>66030</v>
      </c>
      <c r="D129" s="20"/>
      <c r="E129" s="16"/>
      <c r="F129" s="19"/>
      <c r="G129" s="20"/>
      <c r="H129" s="20"/>
      <c r="I129" s="20"/>
    </row>
    <row r="130" spans="1:9">
      <c r="A130">
        <v>2017</v>
      </c>
      <c r="B130" s="10" t="s">
        <v>198</v>
      </c>
      <c r="C130" s="15">
        <v>317959</v>
      </c>
      <c r="D130" s="20"/>
      <c r="E130" s="16"/>
      <c r="F130" s="19"/>
      <c r="G130" s="20"/>
      <c r="H130" s="20"/>
      <c r="I130" s="20"/>
    </row>
    <row r="131" spans="1:9">
      <c r="A131">
        <v>2017</v>
      </c>
      <c r="B131" s="10" t="s">
        <v>89</v>
      </c>
      <c r="C131" s="15">
        <v>290334</v>
      </c>
      <c r="D131" s="20"/>
      <c r="E131" s="16"/>
      <c r="F131" s="19"/>
      <c r="G131" s="20"/>
      <c r="H131" s="20"/>
      <c r="I131" s="20"/>
    </row>
    <row r="132" spans="1:9">
      <c r="A132">
        <v>2017</v>
      </c>
      <c r="B132" s="10" t="s">
        <v>90</v>
      </c>
      <c r="C132" s="15">
        <v>302723</v>
      </c>
      <c r="D132" s="20"/>
      <c r="E132" s="16"/>
      <c r="F132" s="19"/>
      <c r="G132" s="20"/>
      <c r="H132" s="20"/>
      <c r="I132" s="20"/>
    </row>
    <row r="133" spans="1:9">
      <c r="A133">
        <v>2017</v>
      </c>
      <c r="B133" s="10" t="s">
        <v>91</v>
      </c>
      <c r="C133" s="15">
        <v>79374</v>
      </c>
      <c r="D133" s="20"/>
      <c r="E133" s="16"/>
      <c r="F133" s="19"/>
      <c r="G133" s="20"/>
      <c r="H133" s="20"/>
      <c r="I133" s="20"/>
    </row>
    <row r="134" spans="1:9">
      <c r="A134">
        <v>2017</v>
      </c>
      <c r="B134" s="10" t="s">
        <v>92</v>
      </c>
      <c r="C134" s="15">
        <v>278082</v>
      </c>
      <c r="D134" s="20"/>
      <c r="E134" s="16"/>
      <c r="F134" s="19"/>
      <c r="G134" s="20"/>
      <c r="H134" s="20"/>
      <c r="I134" s="20"/>
    </row>
    <row r="135" spans="1:9">
      <c r="A135">
        <v>2017</v>
      </c>
      <c r="B135" s="10" t="s">
        <v>215</v>
      </c>
      <c r="C135" s="15">
        <v>691993</v>
      </c>
      <c r="D135" s="20"/>
      <c r="E135" s="16"/>
      <c r="F135" s="19"/>
      <c r="G135" s="20"/>
      <c r="H135" s="20"/>
      <c r="I135" s="20"/>
    </row>
    <row r="136" spans="1:9">
      <c r="A136">
        <v>2017</v>
      </c>
      <c r="B136" s="10" t="s">
        <v>93</v>
      </c>
      <c r="C136" s="15">
        <v>124860</v>
      </c>
      <c r="D136" s="20"/>
      <c r="E136" s="16"/>
      <c r="F136" s="19"/>
      <c r="G136" s="20"/>
      <c r="H136" s="20"/>
      <c r="I136" s="20"/>
    </row>
    <row r="137" spans="1:9">
      <c r="A137">
        <v>2017</v>
      </c>
      <c r="B137" s="10" t="s">
        <v>94</v>
      </c>
      <c r="C137" s="15">
        <v>51344</v>
      </c>
      <c r="D137" s="20"/>
      <c r="E137" s="16"/>
      <c r="F137" s="19"/>
      <c r="G137" s="20"/>
      <c r="H137" s="20"/>
      <c r="I137" s="20"/>
    </row>
    <row r="138" spans="1:9">
      <c r="A138">
        <v>2017</v>
      </c>
      <c r="B138" s="10" t="s">
        <v>303</v>
      </c>
      <c r="C138" s="15">
        <v>879119</v>
      </c>
      <c r="D138" s="20"/>
      <c r="E138" s="16"/>
      <c r="F138" s="19"/>
      <c r="G138" s="20"/>
      <c r="H138" s="20"/>
      <c r="I138" s="20"/>
    </row>
    <row r="139" spans="1:9">
      <c r="A139">
        <v>2017</v>
      </c>
      <c r="B139" s="10" t="s">
        <v>95</v>
      </c>
      <c r="C139" s="15">
        <v>1357490</v>
      </c>
      <c r="D139" s="20"/>
      <c r="E139" s="16"/>
      <c r="F139" s="19"/>
      <c r="G139" s="20"/>
      <c r="H139" s="20"/>
      <c r="I139" s="20"/>
    </row>
    <row r="140" spans="1:9">
      <c r="A140">
        <v>2017</v>
      </c>
      <c r="B140" s="10" t="s">
        <v>263</v>
      </c>
      <c r="C140" s="15">
        <v>582824</v>
      </c>
      <c r="D140" s="20"/>
      <c r="E140" s="16"/>
      <c r="F140" s="19"/>
      <c r="G140" s="20"/>
      <c r="H140" s="20"/>
      <c r="I140" s="20"/>
    </row>
    <row r="141" spans="1:9">
      <c r="A141">
        <v>2017</v>
      </c>
      <c r="B141" s="10" t="s">
        <v>96</v>
      </c>
      <c r="C141" s="15">
        <v>107030</v>
      </c>
      <c r="D141" s="20"/>
      <c r="E141" s="16"/>
      <c r="F141" s="19"/>
      <c r="G141" s="20"/>
      <c r="H141" s="20"/>
      <c r="I141" s="20"/>
    </row>
    <row r="142" spans="1:9">
      <c r="A142">
        <v>2017</v>
      </c>
      <c r="B142" s="10" t="s">
        <v>97</v>
      </c>
      <c r="C142" s="15">
        <v>68803</v>
      </c>
      <c r="D142" s="20"/>
      <c r="E142" s="16"/>
      <c r="F142" s="19"/>
      <c r="G142" s="20"/>
      <c r="H142" s="20"/>
      <c r="I142" s="20"/>
    </row>
    <row r="143" spans="1:9">
      <c r="A143">
        <v>2017</v>
      </c>
      <c r="B143" s="10" t="s">
        <v>98</v>
      </c>
      <c r="C143" s="15">
        <v>896719</v>
      </c>
      <c r="D143" s="20"/>
      <c r="E143" s="16"/>
      <c r="F143" s="19"/>
      <c r="G143" s="20"/>
      <c r="H143" s="20"/>
      <c r="I143" s="20"/>
    </row>
    <row r="144" spans="1:9">
      <c r="A144">
        <v>2017</v>
      </c>
      <c r="B144" s="10" t="s">
        <v>99</v>
      </c>
      <c r="C144" s="15">
        <v>95403</v>
      </c>
      <c r="D144" s="20"/>
      <c r="E144" s="16"/>
      <c r="F144" s="19"/>
      <c r="G144" s="20"/>
      <c r="H144" s="20"/>
      <c r="I144" s="20"/>
    </row>
    <row r="145" spans="1:9">
      <c r="A145">
        <v>2017</v>
      </c>
      <c r="B145" s="10" t="s">
        <v>100</v>
      </c>
      <c r="D145" s="16"/>
      <c r="E145" s="16"/>
      <c r="F145" s="19"/>
      <c r="G145" s="16"/>
      <c r="H145" s="20"/>
      <c r="I145" s="20"/>
    </row>
    <row r="146" spans="1:9">
      <c r="A146">
        <v>2017</v>
      </c>
      <c r="B146" s="10" t="s">
        <v>291</v>
      </c>
      <c r="C146" s="15">
        <v>209898</v>
      </c>
      <c r="D146" s="20"/>
      <c r="E146" s="16"/>
      <c r="F146" s="19"/>
      <c r="G146" s="20"/>
      <c r="H146" s="20"/>
      <c r="I146" s="20"/>
    </row>
    <row r="147" spans="1:9">
      <c r="A147">
        <v>2017</v>
      </c>
      <c r="B147" s="10" t="s">
        <v>258</v>
      </c>
      <c r="C147" s="15">
        <v>527690</v>
      </c>
      <c r="D147" s="20"/>
      <c r="E147" s="16"/>
      <c r="F147" s="19"/>
      <c r="G147" s="20"/>
      <c r="H147" s="20"/>
      <c r="I147" s="20"/>
    </row>
    <row r="148" spans="1:9">
      <c r="A148">
        <v>2017</v>
      </c>
      <c r="B148" s="10" t="s">
        <v>227</v>
      </c>
      <c r="C148" s="15">
        <v>932944</v>
      </c>
      <c r="D148" s="20"/>
      <c r="E148" s="16"/>
      <c r="F148" s="19"/>
      <c r="G148" s="20"/>
      <c r="H148" s="20"/>
      <c r="I148" s="20"/>
    </row>
    <row r="149" spans="1:9">
      <c r="A149">
        <v>2017</v>
      </c>
      <c r="B149" s="10" t="s">
        <v>101</v>
      </c>
      <c r="C149" s="15">
        <v>75268</v>
      </c>
      <c r="D149" s="20"/>
      <c r="E149" s="16"/>
      <c r="F149" s="19"/>
      <c r="G149" s="20"/>
      <c r="H149" s="20"/>
      <c r="I149" s="20"/>
    </row>
    <row r="150" spans="1:9">
      <c r="A150">
        <v>2017</v>
      </c>
      <c r="B150" s="10" t="s">
        <v>247</v>
      </c>
      <c r="D150" s="16"/>
      <c r="E150" s="16"/>
      <c r="F150" s="19"/>
      <c r="G150" s="16"/>
      <c r="H150" s="20"/>
      <c r="I150" s="20"/>
    </row>
    <row r="151" spans="1:9">
      <c r="A151">
        <v>2017</v>
      </c>
      <c r="B151" s="10" t="s">
        <v>299</v>
      </c>
      <c r="C151" s="15">
        <v>1609761</v>
      </c>
      <c r="D151" s="20"/>
      <c r="E151" s="16"/>
      <c r="F151" s="19"/>
      <c r="G151" s="20"/>
      <c r="H151" s="20"/>
      <c r="I151" s="20"/>
    </row>
    <row r="152" spans="1:9">
      <c r="A152">
        <v>2017</v>
      </c>
      <c r="B152" s="10" t="s">
        <v>102</v>
      </c>
      <c r="C152" s="15">
        <v>76041</v>
      </c>
      <c r="D152" s="20"/>
      <c r="E152" s="16"/>
      <c r="F152" s="19"/>
      <c r="G152" s="20"/>
      <c r="H152" s="20"/>
      <c r="I152" s="20"/>
    </row>
    <row r="153" spans="1:9">
      <c r="A153">
        <v>2017</v>
      </c>
      <c r="B153" s="10" t="s">
        <v>103</v>
      </c>
      <c r="C153" s="15">
        <v>45553</v>
      </c>
      <c r="D153" s="20"/>
      <c r="E153" s="16"/>
      <c r="F153" s="19"/>
      <c r="G153" s="20"/>
      <c r="H153" s="20"/>
      <c r="I153" s="20"/>
    </row>
    <row r="154" spans="1:9">
      <c r="A154">
        <v>2017</v>
      </c>
      <c r="B154" s="10" t="s">
        <v>105</v>
      </c>
      <c r="C154" s="15">
        <v>70773</v>
      </c>
      <c r="D154" s="20"/>
      <c r="E154" s="16"/>
      <c r="F154" s="19"/>
      <c r="G154" s="20"/>
      <c r="H154" s="20"/>
      <c r="I154" s="20"/>
    </row>
    <row r="155" spans="1:9">
      <c r="A155">
        <v>2017</v>
      </c>
      <c r="B155" s="10" t="s">
        <v>104</v>
      </c>
      <c r="C155" s="15">
        <v>87617</v>
      </c>
      <c r="D155" s="20"/>
      <c r="E155" s="16"/>
      <c r="F155" s="19"/>
      <c r="G155" s="20"/>
      <c r="H155" s="20"/>
      <c r="I155" s="20"/>
    </row>
    <row r="156" spans="1:9">
      <c r="A156">
        <v>2017</v>
      </c>
      <c r="B156" s="10" t="s">
        <v>106</v>
      </c>
      <c r="C156" s="15">
        <v>213303</v>
      </c>
      <c r="D156" s="20"/>
      <c r="E156" s="16"/>
      <c r="F156" s="19"/>
      <c r="G156" s="20"/>
      <c r="H156" s="20"/>
      <c r="I156" s="20"/>
    </row>
    <row r="157" spans="1:9">
      <c r="A157">
        <v>2017</v>
      </c>
      <c r="B157" s="10" t="s">
        <v>107</v>
      </c>
      <c r="C157" s="15">
        <v>78853</v>
      </c>
      <c r="D157" s="20"/>
      <c r="E157" s="16"/>
      <c r="F157" s="19"/>
      <c r="G157" s="20"/>
      <c r="H157" s="20"/>
      <c r="I157" s="20"/>
    </row>
    <row r="158" spans="1:9">
      <c r="A158">
        <v>2017</v>
      </c>
      <c r="B158" s="10" t="s">
        <v>108</v>
      </c>
      <c r="D158" s="16"/>
      <c r="E158" s="16"/>
      <c r="F158" s="19"/>
      <c r="G158" s="16"/>
      <c r="H158" s="20"/>
      <c r="I158" s="20"/>
    </row>
    <row r="159" spans="1:9">
      <c r="A159">
        <v>2017</v>
      </c>
      <c r="B159" s="10" t="s">
        <v>226</v>
      </c>
      <c r="C159" s="15">
        <v>774025</v>
      </c>
      <c r="D159" s="20"/>
      <c r="E159" s="16"/>
      <c r="F159" s="19"/>
      <c r="G159" s="20"/>
      <c r="H159" s="20"/>
      <c r="I159" s="20"/>
    </row>
    <row r="160" spans="1:9">
      <c r="A160">
        <v>2017</v>
      </c>
      <c r="B160" s="10" t="s">
        <v>109</v>
      </c>
      <c r="C160" s="15">
        <v>37844</v>
      </c>
      <c r="D160" s="20"/>
      <c r="E160" s="16"/>
      <c r="F160" s="19"/>
      <c r="G160" s="20"/>
      <c r="H160" s="20"/>
      <c r="I160" s="20"/>
    </row>
    <row r="161" spans="1:9">
      <c r="A161">
        <v>2017</v>
      </c>
      <c r="B161" s="10" t="s">
        <v>110</v>
      </c>
      <c r="C161" s="15">
        <v>389599</v>
      </c>
      <c r="D161" s="20"/>
      <c r="E161" s="16"/>
      <c r="F161" s="19"/>
      <c r="G161" s="20"/>
      <c r="H161" s="20"/>
      <c r="I161" s="20"/>
    </row>
    <row r="162" spans="1:9">
      <c r="A162">
        <v>2017</v>
      </c>
      <c r="B162" s="10" t="s">
        <v>111</v>
      </c>
      <c r="C162" s="15">
        <v>294092</v>
      </c>
      <c r="D162" s="20"/>
      <c r="E162" s="16"/>
      <c r="F162" s="19"/>
      <c r="G162" s="20"/>
      <c r="H162" s="16"/>
      <c r="I162" s="20"/>
    </row>
    <row r="163" spans="1:9">
      <c r="A163">
        <v>2017</v>
      </c>
      <c r="B163" s="10" t="s">
        <v>249</v>
      </c>
      <c r="C163" s="15">
        <v>169775</v>
      </c>
      <c r="D163" s="20"/>
      <c r="E163" s="16"/>
      <c r="F163" s="19"/>
      <c r="G163" s="20"/>
      <c r="H163" s="20"/>
      <c r="I163" s="20"/>
    </row>
    <row r="164" spans="1:9">
      <c r="A164">
        <v>2017</v>
      </c>
      <c r="B164" s="10" t="s">
        <v>281</v>
      </c>
      <c r="C164" s="15">
        <v>136922</v>
      </c>
      <c r="D164" s="20"/>
      <c r="E164" s="16"/>
      <c r="F164" s="19"/>
      <c r="G164" s="20"/>
      <c r="H164" s="20"/>
      <c r="I164" s="20"/>
    </row>
    <row r="165" spans="1:9">
      <c r="A165">
        <v>2017</v>
      </c>
      <c r="B165" s="10" t="s">
        <v>112</v>
      </c>
      <c r="C165" s="15">
        <v>78037</v>
      </c>
      <c r="D165" s="20"/>
      <c r="E165" s="16"/>
      <c r="F165" s="19"/>
      <c r="G165" s="20"/>
      <c r="H165" s="20"/>
      <c r="I165" s="20"/>
    </row>
    <row r="166" spans="1:9">
      <c r="A166">
        <v>2017</v>
      </c>
      <c r="B166" s="10" t="s">
        <v>242</v>
      </c>
      <c r="C166" s="15">
        <v>201861</v>
      </c>
      <c r="D166" s="20"/>
      <c r="E166" s="16"/>
      <c r="F166" s="19"/>
      <c r="G166" s="20"/>
      <c r="H166" s="20"/>
      <c r="I166" s="20"/>
    </row>
    <row r="167" spans="1:9">
      <c r="A167">
        <v>2017</v>
      </c>
      <c r="B167" s="10" t="s">
        <v>217</v>
      </c>
      <c r="C167" s="15">
        <v>205745</v>
      </c>
      <c r="D167" s="20"/>
      <c r="E167" s="16"/>
      <c r="F167" s="19"/>
      <c r="G167" s="20"/>
      <c r="H167" s="20"/>
      <c r="I167" s="20"/>
    </row>
    <row r="168" spans="1:9">
      <c r="A168">
        <v>2017</v>
      </c>
      <c r="B168" s="10" t="s">
        <v>259</v>
      </c>
      <c r="C168" s="15">
        <v>481352</v>
      </c>
      <c r="D168" s="20"/>
      <c r="E168" s="16"/>
      <c r="F168" s="19"/>
      <c r="G168" s="20"/>
      <c r="H168" s="20"/>
      <c r="I168" s="20"/>
    </row>
    <row r="169" spans="1:9">
      <c r="A169">
        <v>2017</v>
      </c>
      <c r="B169" s="10" t="s">
        <v>113</v>
      </c>
      <c r="C169" s="15">
        <v>68866</v>
      </c>
      <c r="D169" s="20"/>
      <c r="E169" s="16"/>
      <c r="F169" s="19"/>
      <c r="G169" s="20"/>
      <c r="H169" s="20"/>
      <c r="I169" s="20"/>
    </row>
    <row r="170" spans="1:9">
      <c r="A170">
        <v>2017</v>
      </c>
      <c r="B170" s="10" t="s">
        <v>254</v>
      </c>
      <c r="C170" s="15">
        <v>268162</v>
      </c>
      <c r="D170" s="20"/>
      <c r="E170" s="16"/>
      <c r="F170" s="19"/>
      <c r="G170" s="20"/>
      <c r="H170" s="20"/>
      <c r="I170" s="20"/>
    </row>
    <row r="171" spans="1:9">
      <c r="A171">
        <v>2017</v>
      </c>
      <c r="B171" s="10" t="s">
        <v>114</v>
      </c>
      <c r="C171" s="15">
        <v>77159</v>
      </c>
      <c r="D171" s="20"/>
      <c r="E171" s="16"/>
      <c r="F171" s="19"/>
      <c r="G171" s="20"/>
      <c r="H171" s="20"/>
      <c r="I171" s="20"/>
    </row>
    <row r="172" spans="1:9">
      <c r="A172">
        <v>2017</v>
      </c>
      <c r="B172" s="10" t="s">
        <v>304</v>
      </c>
      <c r="C172" s="15">
        <v>872425</v>
      </c>
      <c r="D172" s="20"/>
      <c r="E172" s="16"/>
      <c r="F172" s="19"/>
      <c r="G172" s="20"/>
      <c r="H172" s="20"/>
      <c r="I172" s="20"/>
    </row>
    <row r="173" spans="1:9">
      <c r="A173">
        <v>2017</v>
      </c>
      <c r="B173" s="10" t="s">
        <v>225</v>
      </c>
      <c r="D173" s="16"/>
      <c r="E173" s="16"/>
      <c r="F173" s="19"/>
      <c r="G173" s="16"/>
      <c r="H173" s="20"/>
      <c r="I173" s="20"/>
    </row>
    <row r="174" spans="1:9">
      <c r="A174">
        <v>2017</v>
      </c>
      <c r="B174" s="10" t="s">
        <v>271</v>
      </c>
      <c r="C174" s="15">
        <v>345820</v>
      </c>
      <c r="D174" s="20"/>
      <c r="E174" s="16"/>
      <c r="F174" s="19"/>
      <c r="G174" s="20"/>
      <c r="H174" s="20"/>
      <c r="I174" s="20"/>
    </row>
    <row r="175" spans="1:9">
      <c r="A175">
        <v>2017</v>
      </c>
      <c r="B175" s="10" t="s">
        <v>116</v>
      </c>
      <c r="C175" s="15">
        <v>46465</v>
      </c>
      <c r="D175" s="20"/>
      <c r="E175" s="16"/>
      <c r="F175" s="19"/>
      <c r="G175" s="20"/>
      <c r="H175" s="20"/>
      <c r="I175" s="20"/>
    </row>
    <row r="176" spans="1:9">
      <c r="A176">
        <v>2017</v>
      </c>
      <c r="B176" s="10" t="s">
        <v>117</v>
      </c>
      <c r="D176" s="16"/>
      <c r="E176" s="16"/>
      <c r="F176" s="19"/>
      <c r="G176" s="16"/>
      <c r="H176" s="20"/>
      <c r="I176" s="20"/>
    </row>
    <row r="177" spans="1:9">
      <c r="A177">
        <v>2017</v>
      </c>
      <c r="B177" s="10" t="s">
        <v>118</v>
      </c>
      <c r="D177" s="16"/>
      <c r="E177" s="16"/>
      <c r="F177" s="19"/>
      <c r="G177" s="16"/>
      <c r="H177" s="20"/>
      <c r="I177" s="20"/>
    </row>
    <row r="178" spans="1:9">
      <c r="A178">
        <v>2017</v>
      </c>
      <c r="B178" s="10" t="s">
        <v>119</v>
      </c>
      <c r="C178" s="15">
        <v>294868</v>
      </c>
      <c r="D178" s="20"/>
      <c r="E178" s="16"/>
      <c r="F178" s="19"/>
      <c r="G178" s="20"/>
      <c r="H178" s="20"/>
      <c r="I178" s="20"/>
    </row>
    <row r="179" spans="1:9">
      <c r="A179">
        <v>2017</v>
      </c>
      <c r="B179" s="10" t="s">
        <v>120</v>
      </c>
      <c r="C179" s="15">
        <v>161317</v>
      </c>
      <c r="D179" s="20"/>
      <c r="E179" s="16"/>
      <c r="F179" s="19"/>
      <c r="G179" s="20"/>
      <c r="H179" s="20"/>
      <c r="I179" s="20"/>
    </row>
    <row r="180" spans="1:9">
      <c r="A180">
        <v>2017</v>
      </c>
      <c r="B180" s="10" t="s">
        <v>121</v>
      </c>
      <c r="C180" s="15">
        <v>207225</v>
      </c>
      <c r="D180" s="20"/>
      <c r="E180" s="16"/>
      <c r="F180" s="19"/>
      <c r="G180" s="20"/>
      <c r="H180" s="20"/>
      <c r="I180" s="20"/>
    </row>
    <row r="181" spans="1:9">
      <c r="A181">
        <v>2017</v>
      </c>
      <c r="B181" s="10" t="s">
        <v>298</v>
      </c>
      <c r="C181" s="15">
        <v>72954</v>
      </c>
      <c r="D181" s="20"/>
      <c r="E181" s="16"/>
      <c r="F181" s="19"/>
      <c r="G181" s="20"/>
      <c r="H181" s="20"/>
      <c r="I181" s="20"/>
    </row>
    <row r="182" spans="1:9">
      <c r="A182">
        <v>2017</v>
      </c>
      <c r="B182" s="10" t="s">
        <v>122</v>
      </c>
      <c r="C182" s="15">
        <v>142571</v>
      </c>
      <c r="D182" s="20"/>
      <c r="E182" s="16"/>
      <c r="F182" s="19"/>
      <c r="G182" s="20"/>
      <c r="H182" s="20"/>
      <c r="I182" s="20"/>
    </row>
    <row r="183" spans="1:9">
      <c r="A183">
        <v>2017</v>
      </c>
      <c r="B183" s="10" t="s">
        <v>123</v>
      </c>
      <c r="C183" s="15">
        <v>171071</v>
      </c>
      <c r="D183" s="20"/>
      <c r="E183" s="16"/>
      <c r="F183" s="19"/>
      <c r="G183" s="20"/>
      <c r="H183" s="20"/>
      <c r="I183" s="20"/>
    </row>
    <row r="184" spans="1:9">
      <c r="A184">
        <v>2017</v>
      </c>
      <c r="B184" s="10" t="s">
        <v>124</v>
      </c>
      <c r="C184" s="15">
        <v>43513</v>
      </c>
      <c r="D184" s="20"/>
      <c r="E184" s="16"/>
      <c r="F184" s="19"/>
      <c r="G184" s="20"/>
      <c r="H184" s="20"/>
      <c r="I184" s="20"/>
    </row>
    <row r="185" spans="1:9">
      <c r="A185">
        <v>2017</v>
      </c>
      <c r="B185" s="10" t="s">
        <v>125</v>
      </c>
      <c r="C185" s="15">
        <v>42229</v>
      </c>
      <c r="D185" s="20"/>
      <c r="E185" s="16"/>
      <c r="F185" s="19"/>
      <c r="G185" s="20"/>
      <c r="H185" s="20"/>
      <c r="I185" s="20"/>
    </row>
    <row r="186" spans="1:9">
      <c r="A186">
        <v>2017</v>
      </c>
      <c r="B186" s="10" t="s">
        <v>126</v>
      </c>
      <c r="C186" s="15">
        <v>250142</v>
      </c>
      <c r="D186" s="20"/>
      <c r="E186" s="16"/>
      <c r="F186" s="19"/>
      <c r="G186" s="20"/>
      <c r="H186" s="20"/>
      <c r="I186" s="20"/>
    </row>
    <row r="187" spans="1:9">
      <c r="A187">
        <v>2017</v>
      </c>
      <c r="B187" s="10" t="s">
        <v>127</v>
      </c>
      <c r="D187" s="16"/>
      <c r="E187" s="16"/>
      <c r="F187" s="19"/>
      <c r="G187" s="16"/>
      <c r="H187" s="20"/>
      <c r="I187" s="20"/>
    </row>
    <row r="188" spans="1:9">
      <c r="A188">
        <v>2017</v>
      </c>
      <c r="B188" s="10" t="s">
        <v>128</v>
      </c>
      <c r="C188" s="15">
        <v>39630</v>
      </c>
      <c r="D188" s="20"/>
      <c r="E188" s="16"/>
      <c r="F188" s="19"/>
      <c r="G188" s="20"/>
      <c r="H188" s="20"/>
      <c r="I188" s="20"/>
    </row>
    <row r="189" spans="1:9">
      <c r="A189">
        <v>2017</v>
      </c>
      <c r="B189" s="10" t="s">
        <v>286</v>
      </c>
      <c r="C189" s="15">
        <v>324748</v>
      </c>
      <c r="D189" s="20"/>
      <c r="E189" s="16"/>
      <c r="F189" s="19"/>
      <c r="G189" s="20"/>
      <c r="H189" s="20"/>
      <c r="I189" s="20"/>
    </row>
    <row r="190" spans="1:9">
      <c r="A190">
        <v>2017</v>
      </c>
      <c r="B190" s="10" t="s">
        <v>290</v>
      </c>
      <c r="C190" s="15">
        <v>170114</v>
      </c>
      <c r="D190" s="20"/>
      <c r="E190" s="16"/>
      <c r="F190" s="19"/>
      <c r="G190" s="20"/>
      <c r="H190" s="20"/>
      <c r="I190" s="20"/>
    </row>
    <row r="191" spans="1:9">
      <c r="A191">
        <v>2017</v>
      </c>
      <c r="B191" s="10" t="s">
        <v>129</v>
      </c>
      <c r="C191" s="15">
        <v>126052</v>
      </c>
      <c r="D191" s="20"/>
      <c r="E191" s="16"/>
      <c r="F191" s="19"/>
      <c r="G191" s="20"/>
      <c r="H191" s="20"/>
      <c r="I191" s="20"/>
    </row>
    <row r="192" spans="1:9">
      <c r="A192">
        <v>2017</v>
      </c>
      <c r="B192" s="10" t="s">
        <v>130</v>
      </c>
      <c r="C192" s="15">
        <v>371430</v>
      </c>
      <c r="D192" s="20"/>
      <c r="E192" s="16"/>
      <c r="F192" s="19"/>
      <c r="G192" s="20"/>
      <c r="H192" s="20"/>
      <c r="I192" s="20"/>
    </row>
    <row r="193" spans="1:9">
      <c r="A193">
        <v>2017</v>
      </c>
      <c r="B193" s="10" t="s">
        <v>131</v>
      </c>
      <c r="C193" s="15">
        <v>39293</v>
      </c>
      <c r="D193" s="20"/>
      <c r="E193" s="16"/>
      <c r="F193" s="19"/>
      <c r="G193" s="20"/>
      <c r="H193" s="20"/>
      <c r="I193" s="20"/>
    </row>
    <row r="194" spans="1:9">
      <c r="A194">
        <v>2017</v>
      </c>
      <c r="B194" s="10" t="s">
        <v>132</v>
      </c>
      <c r="C194" s="15">
        <v>240723</v>
      </c>
      <c r="D194" s="20"/>
      <c r="E194" s="16"/>
      <c r="F194" s="19"/>
      <c r="G194" s="20"/>
      <c r="H194" s="20"/>
      <c r="I194" s="20"/>
    </row>
    <row r="195" spans="1:9">
      <c r="A195">
        <v>2017</v>
      </c>
      <c r="B195" s="10" t="s">
        <v>230</v>
      </c>
      <c r="C195" s="15">
        <v>227539</v>
      </c>
      <c r="D195" s="20"/>
      <c r="E195" s="16"/>
      <c r="F195" s="19"/>
      <c r="G195" s="20"/>
      <c r="H195" s="20"/>
      <c r="I195" s="20"/>
    </row>
    <row r="196" spans="1:9">
      <c r="A196">
        <v>2017</v>
      </c>
      <c r="B196" s="10" t="s">
        <v>133</v>
      </c>
      <c r="C196" s="15">
        <v>2031185</v>
      </c>
      <c r="D196" s="20"/>
      <c r="E196" s="16"/>
      <c r="F196" s="19"/>
      <c r="G196" s="20"/>
      <c r="H196" s="20"/>
      <c r="I196" s="20"/>
    </row>
    <row r="197" spans="1:9">
      <c r="A197">
        <v>2017</v>
      </c>
      <c r="B197" s="10" t="s">
        <v>205</v>
      </c>
      <c r="C197" s="15">
        <v>365342</v>
      </c>
      <c r="D197" s="20"/>
      <c r="E197" s="16"/>
      <c r="F197" s="19"/>
      <c r="G197" s="20"/>
      <c r="H197" s="20"/>
      <c r="I197" s="20"/>
    </row>
    <row r="198" spans="1:9">
      <c r="A198">
        <v>2017</v>
      </c>
      <c r="B198" s="10" t="s">
        <v>283</v>
      </c>
      <c r="D198" s="16"/>
      <c r="E198" s="16"/>
      <c r="F198" s="19"/>
      <c r="G198" s="16"/>
      <c r="H198" s="20"/>
      <c r="I198" s="20"/>
    </row>
    <row r="199" spans="1:9">
      <c r="A199">
        <v>2017</v>
      </c>
      <c r="B199" s="10" t="s">
        <v>206</v>
      </c>
      <c r="C199" s="15">
        <v>138294</v>
      </c>
      <c r="D199" s="20"/>
      <c r="E199" s="16"/>
      <c r="F199" s="19"/>
      <c r="G199" s="20"/>
      <c r="H199" s="20"/>
      <c r="I199" s="20"/>
    </row>
    <row r="200" spans="1:9">
      <c r="A200">
        <v>2017</v>
      </c>
      <c r="B200" s="10" t="s">
        <v>134</v>
      </c>
      <c r="C200" s="15">
        <v>241383</v>
      </c>
      <c r="D200" s="20"/>
      <c r="E200" s="16"/>
      <c r="F200" s="19"/>
      <c r="G200" s="20"/>
      <c r="H200" s="20"/>
      <c r="I200" s="20"/>
    </row>
    <row r="201" spans="1:9">
      <c r="A201">
        <v>2017</v>
      </c>
      <c r="B201" s="10" t="s">
        <v>250</v>
      </c>
      <c r="D201" s="16"/>
      <c r="E201" s="16"/>
      <c r="F201" s="19"/>
      <c r="G201" s="16"/>
      <c r="H201" s="20"/>
      <c r="I201" s="20"/>
    </row>
    <row r="202" spans="1:9">
      <c r="A202">
        <v>2017</v>
      </c>
      <c r="B202" s="10" t="s">
        <v>138</v>
      </c>
      <c r="C202" s="15">
        <v>90897</v>
      </c>
      <c r="D202" s="20"/>
      <c r="E202" s="16"/>
      <c r="F202" s="19"/>
      <c r="G202" s="20"/>
      <c r="H202" s="20"/>
      <c r="I202" s="20"/>
    </row>
    <row r="203" spans="1:9">
      <c r="A203">
        <v>2017</v>
      </c>
      <c r="B203" s="10" t="s">
        <v>139</v>
      </c>
      <c r="C203" s="15">
        <v>140087</v>
      </c>
      <c r="D203" s="20"/>
      <c r="E203" s="16"/>
      <c r="F203" s="19"/>
      <c r="G203" s="20"/>
      <c r="H203" s="20"/>
      <c r="I203" s="20"/>
    </row>
    <row r="204" spans="1:9">
      <c r="A204">
        <v>2017</v>
      </c>
      <c r="B204" s="10" t="s">
        <v>140</v>
      </c>
      <c r="C204" s="15">
        <v>96409</v>
      </c>
      <c r="D204" s="20"/>
      <c r="E204" s="16"/>
      <c r="F204" s="19"/>
      <c r="G204" s="20"/>
      <c r="H204" s="20"/>
      <c r="I204" s="20"/>
    </row>
    <row r="205" spans="1:9">
      <c r="A205">
        <v>2017</v>
      </c>
      <c r="B205" s="10" t="s">
        <v>141</v>
      </c>
      <c r="C205" s="15">
        <v>522042</v>
      </c>
      <c r="D205" s="20"/>
      <c r="E205" s="16"/>
      <c r="F205" s="19"/>
      <c r="G205" s="20"/>
      <c r="H205" s="20"/>
      <c r="I205" s="20"/>
    </row>
    <row r="206" spans="1:9">
      <c r="A206">
        <v>2017</v>
      </c>
      <c r="B206" s="10" t="s">
        <v>142</v>
      </c>
      <c r="C206" s="15">
        <v>179395</v>
      </c>
      <c r="D206" s="20"/>
      <c r="E206" s="16"/>
      <c r="F206" s="19"/>
      <c r="G206" s="20"/>
      <c r="H206" s="20"/>
      <c r="I206" s="20"/>
    </row>
    <row r="207" spans="1:9">
      <c r="A207">
        <v>2017</v>
      </c>
      <c r="B207" s="10" t="s">
        <v>143</v>
      </c>
      <c r="C207" s="15">
        <v>82485</v>
      </c>
      <c r="D207" s="20"/>
      <c r="E207" s="16"/>
      <c r="F207" s="19"/>
      <c r="G207" s="20"/>
      <c r="H207" s="20"/>
      <c r="I207" s="20"/>
    </row>
    <row r="208" spans="1:9">
      <c r="A208">
        <v>2017</v>
      </c>
      <c r="B208" s="10" t="s">
        <v>144</v>
      </c>
      <c r="C208" s="15">
        <v>68058</v>
      </c>
      <c r="D208" s="20"/>
      <c r="E208" s="16"/>
      <c r="F208" s="19"/>
      <c r="G208" s="20"/>
      <c r="H208" s="20"/>
      <c r="I208" s="20"/>
    </row>
    <row r="209" spans="1:9">
      <c r="A209">
        <v>2017</v>
      </c>
      <c r="B209" s="10" t="s">
        <v>145</v>
      </c>
      <c r="D209" s="16"/>
      <c r="E209" s="16"/>
      <c r="F209" s="19"/>
      <c r="G209" s="16"/>
      <c r="H209" s="20"/>
      <c r="I209" s="20"/>
    </row>
    <row r="210" spans="1:9">
      <c r="A210">
        <v>2017</v>
      </c>
      <c r="B210" s="10" t="s">
        <v>146</v>
      </c>
      <c r="C210" s="15">
        <v>2523470</v>
      </c>
      <c r="D210" s="20"/>
      <c r="E210" s="16"/>
      <c r="F210" s="19"/>
      <c r="G210" s="20"/>
      <c r="H210" s="20"/>
      <c r="I210" s="20"/>
    </row>
    <row r="211" spans="1:9">
      <c r="A211">
        <v>2017</v>
      </c>
      <c r="B211" s="10" t="s">
        <v>147</v>
      </c>
      <c r="C211" s="15">
        <v>91060</v>
      </c>
      <c r="D211" s="20"/>
      <c r="E211" s="16"/>
      <c r="F211" s="19"/>
      <c r="G211" s="20"/>
      <c r="H211" s="20"/>
      <c r="I211" s="20"/>
    </row>
    <row r="212" spans="1:9">
      <c r="A212">
        <v>2017</v>
      </c>
      <c r="B212" s="10" t="s">
        <v>288</v>
      </c>
      <c r="C212" s="15">
        <v>134511</v>
      </c>
      <c r="D212" s="20"/>
      <c r="E212" s="16"/>
      <c r="F212" s="19"/>
      <c r="G212" s="20"/>
      <c r="H212" s="20"/>
      <c r="I212" s="20"/>
    </row>
    <row r="213" spans="1:9">
      <c r="A213">
        <v>2017</v>
      </c>
      <c r="B213" s="10" t="s">
        <v>266</v>
      </c>
      <c r="C213" s="15">
        <v>698942</v>
      </c>
      <c r="D213" s="20"/>
      <c r="E213" s="16"/>
      <c r="F213" s="19"/>
      <c r="G213" s="20"/>
      <c r="H213" s="20"/>
      <c r="I213" s="20"/>
    </row>
    <row r="214" spans="1:9">
      <c r="A214">
        <v>2017</v>
      </c>
      <c r="B214" s="10" t="s">
        <v>267</v>
      </c>
      <c r="C214" s="15">
        <v>202673</v>
      </c>
      <c r="D214" s="20"/>
      <c r="E214" s="16"/>
      <c r="F214" s="19"/>
      <c r="G214" s="20"/>
      <c r="H214" s="20"/>
      <c r="I214" s="20"/>
    </row>
    <row r="215" spans="1:9">
      <c r="A215">
        <v>2017</v>
      </c>
      <c r="B215" s="10" t="s">
        <v>284</v>
      </c>
      <c r="C215" s="15">
        <v>565670</v>
      </c>
      <c r="D215" s="20"/>
      <c r="E215" s="16"/>
      <c r="F215" s="19"/>
      <c r="G215" s="20"/>
      <c r="H215" s="20"/>
      <c r="I215" s="20"/>
    </row>
    <row r="216" spans="1:9">
      <c r="A216">
        <v>2017</v>
      </c>
      <c r="B216" s="10" t="s">
        <v>148</v>
      </c>
      <c r="C216" s="15">
        <v>1097494</v>
      </c>
      <c r="D216" s="20"/>
      <c r="E216" s="16"/>
      <c r="F216" s="19"/>
      <c r="G216" s="20"/>
      <c r="H216" s="20"/>
      <c r="I216" s="20"/>
    </row>
    <row r="217" spans="1:9">
      <c r="A217">
        <v>2017</v>
      </c>
      <c r="B217" s="10" t="s">
        <v>135</v>
      </c>
      <c r="C217" s="15">
        <v>512661</v>
      </c>
      <c r="D217" s="20"/>
      <c r="E217" s="16"/>
      <c r="F217" s="19"/>
      <c r="G217" s="20"/>
      <c r="H217" s="20"/>
      <c r="I217" s="20"/>
    </row>
    <row r="218" spans="1:9">
      <c r="A218">
        <v>2017</v>
      </c>
      <c r="B218" s="10" t="s">
        <v>136</v>
      </c>
      <c r="C218" s="15">
        <v>471208</v>
      </c>
      <c r="D218" s="20"/>
      <c r="E218" s="16"/>
      <c r="F218" s="19"/>
      <c r="G218" s="20"/>
      <c r="H218" s="20"/>
      <c r="I218" s="20"/>
    </row>
    <row r="219" spans="1:9">
      <c r="A219">
        <v>2017</v>
      </c>
      <c r="B219" s="10" t="s">
        <v>199</v>
      </c>
      <c r="C219" s="15">
        <v>663670</v>
      </c>
      <c r="D219" s="20"/>
      <c r="E219" s="16"/>
      <c r="F219" s="19"/>
      <c r="G219" s="20"/>
      <c r="H219" s="20"/>
      <c r="I219" s="20"/>
    </row>
    <row r="220" spans="1:9">
      <c r="A220">
        <v>2017</v>
      </c>
      <c r="B220" s="10" t="s">
        <v>137</v>
      </c>
      <c r="C220" s="15">
        <v>572961</v>
      </c>
      <c r="D220" s="20"/>
      <c r="E220" s="16"/>
      <c r="F220" s="19"/>
      <c r="G220" s="20"/>
      <c r="H220" s="20"/>
      <c r="I220" s="20"/>
    </row>
    <row r="221" spans="1:9">
      <c r="A221">
        <v>2017</v>
      </c>
      <c r="B221" s="10" t="s">
        <v>149</v>
      </c>
      <c r="C221" s="15">
        <v>42823</v>
      </c>
      <c r="D221" s="20"/>
      <c r="E221" s="16"/>
      <c r="F221" s="19"/>
      <c r="G221" s="20"/>
      <c r="H221" s="20"/>
      <c r="I221" s="20"/>
    </row>
    <row r="222" spans="1:9">
      <c r="A222">
        <v>2017</v>
      </c>
      <c r="B222" s="10" t="s">
        <v>150</v>
      </c>
      <c r="C222" s="15">
        <v>129506</v>
      </c>
      <c r="D222" s="20"/>
      <c r="E222" s="16"/>
      <c r="F222" s="19"/>
      <c r="G222" s="20"/>
      <c r="H222" s="20"/>
      <c r="I222" s="20"/>
    </row>
    <row r="223" spans="1:9">
      <c r="A223">
        <v>2017</v>
      </c>
      <c r="B223" s="10" t="s">
        <v>269</v>
      </c>
      <c r="C223" s="15">
        <v>39064</v>
      </c>
      <c r="D223" s="20"/>
      <c r="E223" s="16"/>
      <c r="F223" s="19"/>
      <c r="G223" s="20"/>
      <c r="H223" s="20"/>
      <c r="I223" s="20"/>
    </row>
    <row r="224" spans="1:9">
      <c r="A224">
        <v>2017</v>
      </c>
      <c r="B224" s="10" t="s">
        <v>151</v>
      </c>
      <c r="C224" s="15">
        <v>545644</v>
      </c>
      <c r="D224" s="20"/>
      <c r="E224" s="16"/>
      <c r="F224" s="19"/>
      <c r="G224" s="20"/>
      <c r="H224" s="20"/>
      <c r="I224" s="20"/>
    </row>
    <row r="225" spans="1:9">
      <c r="A225">
        <v>2017</v>
      </c>
      <c r="B225" s="10" t="s">
        <v>152</v>
      </c>
      <c r="C225" s="15">
        <v>87705</v>
      </c>
      <c r="D225" s="20"/>
      <c r="E225" s="16"/>
      <c r="F225" s="19"/>
      <c r="G225" s="20"/>
      <c r="H225" s="20"/>
      <c r="I225" s="20"/>
    </row>
    <row r="226" spans="1:9">
      <c r="A226">
        <v>2017</v>
      </c>
      <c r="B226" s="10" t="s">
        <v>153</v>
      </c>
      <c r="D226" s="16"/>
      <c r="E226" s="16"/>
      <c r="F226" s="19"/>
      <c r="G226" s="16"/>
      <c r="H226" s="20"/>
      <c r="I226" s="20"/>
    </row>
    <row r="227" spans="1:9">
      <c r="A227">
        <v>2017</v>
      </c>
      <c r="B227" s="10" t="s">
        <v>154</v>
      </c>
      <c r="C227" s="15">
        <v>60916</v>
      </c>
      <c r="D227" s="20"/>
      <c r="E227" s="16"/>
      <c r="F227" s="19"/>
      <c r="G227" s="20"/>
      <c r="H227" s="20"/>
      <c r="I227" s="20"/>
    </row>
    <row r="228" spans="1:9">
      <c r="A228">
        <v>2017</v>
      </c>
      <c r="B228" s="10" t="s">
        <v>155</v>
      </c>
      <c r="C228" s="15">
        <v>71415</v>
      </c>
      <c r="D228" s="20"/>
      <c r="E228" s="16"/>
      <c r="F228" s="19"/>
      <c r="G228" s="20"/>
      <c r="H228" s="20"/>
      <c r="I228" s="20"/>
    </row>
    <row r="229" spans="1:9">
      <c r="A229">
        <v>2017</v>
      </c>
      <c r="B229" s="10" t="s">
        <v>156</v>
      </c>
      <c r="C229" s="15">
        <v>339386</v>
      </c>
      <c r="D229" s="20"/>
      <c r="E229" s="16"/>
      <c r="F229" s="19"/>
      <c r="G229" s="20"/>
      <c r="H229" s="20"/>
      <c r="I229" s="20"/>
    </row>
    <row r="230" spans="1:9">
      <c r="A230">
        <v>2017</v>
      </c>
      <c r="B230" s="10" t="s">
        <v>200</v>
      </c>
      <c r="C230" s="15">
        <v>298750</v>
      </c>
      <c r="D230" s="20"/>
      <c r="E230" s="16"/>
      <c r="F230" s="19"/>
      <c r="G230" s="20"/>
      <c r="H230" s="20"/>
      <c r="I230" s="20"/>
    </row>
    <row r="231" spans="1:9">
      <c r="A231">
        <v>2017</v>
      </c>
      <c r="B231" s="10" t="s">
        <v>157</v>
      </c>
      <c r="C231" s="15">
        <v>188696</v>
      </c>
      <c r="D231" s="20"/>
      <c r="E231" s="16"/>
      <c r="F231" s="19"/>
      <c r="G231" s="20"/>
      <c r="H231" s="20"/>
      <c r="I231" s="20"/>
    </row>
    <row r="232" spans="1:9">
      <c r="A232">
        <v>2017</v>
      </c>
      <c r="B232" s="10" t="s">
        <v>158</v>
      </c>
      <c r="D232" s="16"/>
      <c r="E232" s="16"/>
      <c r="F232" s="19"/>
      <c r="G232" s="16"/>
      <c r="H232" s="20"/>
      <c r="I232" s="20"/>
    </row>
    <row r="233" spans="1:9">
      <c r="A233">
        <v>2017</v>
      </c>
      <c r="B233" s="10" t="s">
        <v>159</v>
      </c>
      <c r="C233" s="15">
        <v>53160</v>
      </c>
      <c r="D233" s="20"/>
      <c r="E233" s="16"/>
      <c r="F233" s="19"/>
      <c r="G233" s="20"/>
      <c r="H233" s="20"/>
      <c r="I233" s="20"/>
    </row>
    <row r="234" spans="1:9">
      <c r="A234">
        <v>2017</v>
      </c>
      <c r="B234" s="10" t="s">
        <v>160</v>
      </c>
      <c r="C234" s="15">
        <v>116150</v>
      </c>
      <c r="D234" s="20"/>
      <c r="E234" s="16"/>
      <c r="F234" s="19"/>
      <c r="G234" s="20"/>
      <c r="H234" s="20"/>
      <c r="I234" s="20"/>
    </row>
    <row r="235" spans="1:9">
      <c r="A235">
        <v>2017</v>
      </c>
      <c r="B235" s="10" t="s">
        <v>161</v>
      </c>
      <c r="C235" s="15">
        <v>99695</v>
      </c>
      <c r="D235" s="20"/>
      <c r="E235" s="16"/>
      <c r="F235" s="19"/>
      <c r="G235" s="20"/>
      <c r="H235" s="20"/>
      <c r="I235" s="20"/>
    </row>
    <row r="236" spans="1:9">
      <c r="A236">
        <v>2017</v>
      </c>
      <c r="B236" s="10" t="s">
        <v>300</v>
      </c>
      <c r="C236" s="15">
        <v>389464</v>
      </c>
      <c r="D236" s="20"/>
      <c r="E236" s="16"/>
      <c r="F236" s="19"/>
      <c r="G236" s="20"/>
      <c r="H236" s="20"/>
      <c r="I236" s="20"/>
    </row>
    <row r="237" spans="1:9">
      <c r="A237">
        <v>2017</v>
      </c>
      <c r="B237" s="10" t="s">
        <v>224</v>
      </c>
      <c r="C237" s="15">
        <v>305776</v>
      </c>
      <c r="D237" s="20"/>
      <c r="E237" s="16"/>
      <c r="F237" s="19"/>
      <c r="G237" s="20"/>
      <c r="H237" s="20"/>
      <c r="I237" s="20"/>
    </row>
    <row r="238" spans="1:9">
      <c r="A238">
        <v>2017</v>
      </c>
      <c r="B238" s="10" t="s">
        <v>251</v>
      </c>
      <c r="C238" s="15">
        <v>258432</v>
      </c>
      <c r="D238" s="20"/>
      <c r="E238" s="16"/>
      <c r="F238" s="19"/>
      <c r="G238" s="20"/>
      <c r="H238" s="20"/>
      <c r="I238" s="20"/>
    </row>
    <row r="239" spans="1:9">
      <c r="A239">
        <v>2017</v>
      </c>
      <c r="B239" s="10" t="s">
        <v>162</v>
      </c>
      <c r="D239" s="16"/>
      <c r="E239" s="16"/>
      <c r="F239" s="19"/>
      <c r="G239" s="16"/>
      <c r="H239" s="20"/>
      <c r="I239" s="20"/>
    </row>
    <row r="240" spans="1:9">
      <c r="A240">
        <v>2017</v>
      </c>
      <c r="B240" s="10" t="s">
        <v>163</v>
      </c>
      <c r="D240" s="16"/>
      <c r="E240" s="16"/>
      <c r="F240" s="19"/>
      <c r="G240" s="16"/>
      <c r="H240" s="20"/>
      <c r="I240" s="20"/>
    </row>
    <row r="241" spans="1:9">
      <c r="A241">
        <v>2017</v>
      </c>
      <c r="B241" s="10" t="s">
        <v>244</v>
      </c>
      <c r="C241" s="15">
        <v>72126</v>
      </c>
      <c r="D241" s="20"/>
      <c r="E241" s="16"/>
      <c r="F241" s="19"/>
      <c r="G241" s="20"/>
      <c r="H241" s="20"/>
      <c r="I241" s="20"/>
    </row>
    <row r="242" spans="1:9">
      <c r="A242">
        <v>2017</v>
      </c>
      <c r="B242" s="10" t="s">
        <v>268</v>
      </c>
      <c r="C242" s="15">
        <v>252062</v>
      </c>
      <c r="D242" s="20"/>
      <c r="E242" s="16"/>
      <c r="F242" s="19"/>
      <c r="G242" s="20"/>
      <c r="H242" s="20"/>
      <c r="I242" s="20"/>
    </row>
    <row r="243" spans="1:9">
      <c r="A243">
        <v>2017</v>
      </c>
      <c r="B243" s="10" t="s">
        <v>257</v>
      </c>
      <c r="C243" s="15">
        <v>141533</v>
      </c>
      <c r="D243" s="20"/>
      <c r="E243" s="16"/>
      <c r="F243" s="19"/>
      <c r="G243" s="20"/>
      <c r="H243" s="20"/>
      <c r="I243" s="20"/>
    </row>
    <row r="244" spans="1:9">
      <c r="A244">
        <v>2017</v>
      </c>
      <c r="B244" s="10" t="s">
        <v>272</v>
      </c>
      <c r="C244" s="15">
        <v>568234</v>
      </c>
      <c r="D244" s="20"/>
      <c r="E244" s="16"/>
      <c r="F244" s="19"/>
      <c r="G244" s="20"/>
      <c r="H244" s="20"/>
      <c r="I244" s="20"/>
    </row>
    <row r="245" spans="1:9">
      <c r="A245">
        <v>2017</v>
      </c>
      <c r="B245" s="10" t="s">
        <v>274</v>
      </c>
      <c r="C245" s="15">
        <v>190185</v>
      </c>
      <c r="D245" s="20"/>
      <c r="E245" s="16"/>
      <c r="F245" s="19"/>
      <c r="G245" s="20"/>
      <c r="H245" s="20"/>
      <c r="I245" s="20"/>
    </row>
    <row r="246" spans="1:9">
      <c r="A246">
        <v>2017</v>
      </c>
      <c r="B246" s="10" t="s">
        <v>273</v>
      </c>
      <c r="C246" s="15">
        <v>73916</v>
      </c>
      <c r="D246" s="20"/>
      <c r="E246" s="16"/>
      <c r="F246" s="19"/>
      <c r="G246" s="20"/>
      <c r="H246" s="20"/>
      <c r="I246" s="20"/>
    </row>
    <row r="247" spans="1:9">
      <c r="A247">
        <v>2017</v>
      </c>
      <c r="B247" s="10" t="s">
        <v>278</v>
      </c>
      <c r="C247" s="15">
        <v>136519</v>
      </c>
      <c r="D247" s="20"/>
      <c r="E247" s="16"/>
      <c r="F247" s="19"/>
      <c r="G247" s="20"/>
      <c r="H247" s="20"/>
      <c r="I247" s="20"/>
    </row>
    <row r="248" spans="1:9">
      <c r="A248">
        <v>2017</v>
      </c>
      <c r="B248" s="10" t="s">
        <v>279</v>
      </c>
      <c r="D248" s="16"/>
      <c r="E248" s="16"/>
      <c r="F248" s="19"/>
      <c r="G248" s="16"/>
      <c r="H248" s="20"/>
      <c r="I248" s="20"/>
    </row>
    <row r="249" spans="1:9">
      <c r="A249">
        <v>2017</v>
      </c>
      <c r="B249" s="10" t="s">
        <v>280</v>
      </c>
      <c r="C249" s="15">
        <v>660339</v>
      </c>
      <c r="D249" s="20"/>
      <c r="E249" s="16"/>
      <c r="F249" s="19"/>
      <c r="G249" s="20"/>
      <c r="H249" s="20"/>
      <c r="I249" s="20"/>
    </row>
    <row r="250" spans="1:9">
      <c r="A250">
        <v>2017</v>
      </c>
      <c r="B250" s="10" t="s">
        <v>115</v>
      </c>
      <c r="C250" s="15">
        <v>134888</v>
      </c>
      <c r="D250" s="20"/>
      <c r="E250" s="16"/>
      <c r="F250" s="19"/>
      <c r="G250" s="20"/>
      <c r="H250" s="20"/>
      <c r="I250" s="20"/>
    </row>
    <row r="251" spans="1:9">
      <c r="A251">
        <v>2017</v>
      </c>
      <c r="B251" s="10" t="s">
        <v>216</v>
      </c>
      <c r="C251" s="15">
        <v>421460</v>
      </c>
      <c r="D251" s="20"/>
      <c r="E251" s="16"/>
      <c r="F251" s="19"/>
      <c r="G251" s="20"/>
      <c r="H251" s="20"/>
      <c r="I251" s="20"/>
    </row>
    <row r="252" spans="1:9">
      <c r="A252">
        <v>2017</v>
      </c>
      <c r="B252" s="10" t="s">
        <v>213</v>
      </c>
      <c r="C252" s="15">
        <v>21300</v>
      </c>
      <c r="D252" s="20"/>
      <c r="E252" s="16"/>
      <c r="F252" s="19"/>
      <c r="G252" s="20"/>
      <c r="H252" s="20"/>
      <c r="I252" s="20"/>
    </row>
    <row r="253" spans="1:9">
      <c r="A253">
        <v>2017</v>
      </c>
      <c r="B253" s="10" t="s">
        <v>164</v>
      </c>
      <c r="C253" s="15">
        <v>153732</v>
      </c>
      <c r="D253" s="20"/>
      <c r="E253" s="16"/>
      <c r="F253" s="19"/>
      <c r="G253" s="20"/>
      <c r="H253" s="20"/>
      <c r="I253" s="20"/>
    </row>
    <row r="254" spans="1:9">
      <c r="A254">
        <v>2017</v>
      </c>
      <c r="B254" s="10" t="s">
        <v>221</v>
      </c>
      <c r="C254" s="15">
        <v>307945</v>
      </c>
      <c r="D254" s="20"/>
      <c r="E254" s="16"/>
      <c r="F254" s="19"/>
      <c r="G254" s="20"/>
      <c r="H254" s="20"/>
      <c r="I254" s="20"/>
    </row>
    <row r="255" spans="1:9">
      <c r="A255">
        <v>2017</v>
      </c>
      <c r="B255" s="10" t="s">
        <v>165</v>
      </c>
      <c r="C255" s="15">
        <v>129547</v>
      </c>
      <c r="D255" s="20"/>
      <c r="E255" s="16"/>
      <c r="F255" s="19"/>
      <c r="G255" s="20"/>
      <c r="H255" s="20"/>
      <c r="I255" s="20"/>
    </row>
    <row r="256" spans="1:9">
      <c r="A256">
        <v>2017</v>
      </c>
      <c r="B256" s="10" t="s">
        <v>166</v>
      </c>
      <c r="C256" s="15">
        <v>104194</v>
      </c>
      <c r="D256" s="20"/>
      <c r="E256" s="16"/>
      <c r="F256" s="19"/>
      <c r="G256" s="20"/>
      <c r="H256" s="20"/>
      <c r="I256" s="20"/>
    </row>
    <row r="257" spans="1:9">
      <c r="A257">
        <v>2017</v>
      </c>
      <c r="B257" s="10" t="s">
        <v>167</v>
      </c>
      <c r="C257" s="15">
        <v>64401</v>
      </c>
      <c r="D257" s="20"/>
      <c r="E257" s="16"/>
      <c r="F257" s="19"/>
      <c r="G257" s="20"/>
      <c r="H257" s="20"/>
      <c r="I257" s="20"/>
    </row>
    <row r="258" spans="1:9">
      <c r="A258">
        <v>2017</v>
      </c>
      <c r="B258" s="10" t="s">
        <v>168</v>
      </c>
      <c r="D258" s="16"/>
      <c r="E258" s="16"/>
      <c r="F258" s="19"/>
      <c r="G258" s="16"/>
      <c r="H258" s="20"/>
      <c r="I258" s="20"/>
    </row>
    <row r="259" spans="1:9">
      <c r="A259">
        <v>2017</v>
      </c>
      <c r="B259" s="10" t="s">
        <v>169</v>
      </c>
      <c r="C259" s="15">
        <v>36188</v>
      </c>
      <c r="D259" s="20"/>
      <c r="E259" s="16"/>
      <c r="F259" s="19"/>
      <c r="G259" s="20"/>
      <c r="H259" s="20"/>
      <c r="I259" s="20"/>
    </row>
    <row r="260" spans="1:9">
      <c r="A260">
        <v>2017</v>
      </c>
      <c r="B260" s="10" t="s">
        <v>170</v>
      </c>
      <c r="C260" s="15">
        <v>110762</v>
      </c>
      <c r="D260" s="20"/>
      <c r="E260" s="16"/>
      <c r="F260" s="19"/>
      <c r="G260" s="20"/>
      <c r="H260" s="20"/>
      <c r="I260" s="20"/>
    </row>
    <row r="261" spans="1:9">
      <c r="A261">
        <v>2017</v>
      </c>
      <c r="B261" s="10" t="s">
        <v>275</v>
      </c>
      <c r="C261" s="15">
        <v>286862</v>
      </c>
      <c r="D261" s="20"/>
      <c r="E261" s="16"/>
      <c r="F261" s="19"/>
      <c r="G261" s="20"/>
      <c r="H261" s="20"/>
      <c r="I261" s="20"/>
    </row>
    <row r="262" spans="1:9">
      <c r="A262">
        <v>2017</v>
      </c>
      <c r="B262" s="10" t="s">
        <v>211</v>
      </c>
      <c r="C262" s="15">
        <v>110584</v>
      </c>
      <c r="D262" s="20"/>
      <c r="E262" s="16"/>
      <c r="F262" s="19"/>
      <c r="G262" s="20"/>
      <c r="H262" s="20"/>
      <c r="I262" s="20"/>
    </row>
    <row r="263" spans="1:9">
      <c r="A263">
        <v>2017</v>
      </c>
      <c r="B263" s="10" t="s">
        <v>171</v>
      </c>
      <c r="C263" s="15">
        <v>62224</v>
      </c>
      <c r="D263" s="20"/>
      <c r="E263" s="16"/>
      <c r="F263" s="19"/>
      <c r="G263" s="20"/>
      <c r="H263" s="20"/>
      <c r="I263" s="20"/>
    </row>
    <row r="264" spans="1:9">
      <c r="A264">
        <v>2017</v>
      </c>
      <c r="B264" s="10" t="s">
        <v>245</v>
      </c>
      <c r="C264" s="15">
        <v>99622</v>
      </c>
      <c r="D264" s="20"/>
      <c r="E264" s="16"/>
      <c r="F264" s="19"/>
      <c r="G264" s="20"/>
      <c r="H264" s="20"/>
      <c r="I264" s="20"/>
    </row>
    <row r="265" spans="1:9">
      <c r="A265">
        <v>2017</v>
      </c>
      <c r="B265" s="10" t="s">
        <v>256</v>
      </c>
      <c r="C265" s="15">
        <v>344158</v>
      </c>
      <c r="D265" s="20"/>
      <c r="E265" s="16"/>
      <c r="F265" s="19"/>
      <c r="G265" s="20"/>
      <c r="H265" s="20"/>
      <c r="I265" s="20"/>
    </row>
    <row r="266" spans="1:9">
      <c r="A266">
        <v>2017</v>
      </c>
      <c r="B266" s="10" t="s">
        <v>172</v>
      </c>
      <c r="C266" s="15">
        <v>470311</v>
      </c>
      <c r="D266" s="20"/>
      <c r="E266" s="16"/>
      <c r="F266" s="19"/>
      <c r="G266" s="20"/>
      <c r="H266" s="20"/>
      <c r="I266" s="20"/>
    </row>
    <row r="267" spans="1:9">
      <c r="A267">
        <v>2017</v>
      </c>
      <c r="B267" s="10" t="s">
        <v>173</v>
      </c>
      <c r="C267" s="15">
        <v>81233</v>
      </c>
      <c r="D267" s="20"/>
      <c r="E267" s="16"/>
      <c r="F267" s="19"/>
      <c r="G267" s="20"/>
      <c r="H267" s="20"/>
      <c r="I267" s="20"/>
    </row>
    <row r="268" spans="1:9">
      <c r="A268">
        <v>2017</v>
      </c>
      <c r="B268" s="10" t="s">
        <v>174</v>
      </c>
      <c r="C268" s="15">
        <v>57175</v>
      </c>
      <c r="D268" s="20"/>
      <c r="E268" s="16"/>
      <c r="F268" s="19"/>
      <c r="G268" s="20"/>
      <c r="H268" s="20"/>
      <c r="I268" s="20"/>
    </row>
    <row r="269" spans="1:9">
      <c r="A269">
        <v>2017</v>
      </c>
      <c r="B269" s="10" t="s">
        <v>175</v>
      </c>
      <c r="C269" s="15">
        <v>144360</v>
      </c>
      <c r="D269" s="20"/>
      <c r="E269" s="16"/>
      <c r="F269" s="19"/>
      <c r="G269" s="20"/>
      <c r="H269" s="20"/>
      <c r="I269" s="20"/>
    </row>
    <row r="270" spans="1:9">
      <c r="A270">
        <v>2017</v>
      </c>
      <c r="B270" s="10" t="s">
        <v>176</v>
      </c>
      <c r="C270" s="15">
        <v>69406</v>
      </c>
      <c r="D270" s="20"/>
      <c r="E270" s="16"/>
      <c r="F270" s="19"/>
      <c r="G270" s="20"/>
      <c r="H270" s="20"/>
      <c r="I270" s="20"/>
    </row>
    <row r="271" spans="1:9">
      <c r="A271">
        <v>2017</v>
      </c>
      <c r="B271" s="10" t="s">
        <v>177</v>
      </c>
      <c r="C271" s="15">
        <v>259097</v>
      </c>
      <c r="D271" s="20"/>
      <c r="E271" s="16"/>
      <c r="F271" s="19"/>
      <c r="G271" s="20"/>
      <c r="H271" s="20"/>
      <c r="I271" s="20"/>
    </row>
    <row r="272" spans="1:9">
      <c r="A272">
        <v>2017</v>
      </c>
      <c r="B272" s="10" t="s">
        <v>178</v>
      </c>
      <c r="C272" s="15">
        <v>66279</v>
      </c>
      <c r="D272" s="20"/>
      <c r="E272" s="16"/>
      <c r="F272" s="19"/>
      <c r="G272" s="20"/>
      <c r="H272" s="20"/>
      <c r="I272" s="20"/>
    </row>
    <row r="273" spans="1:9">
      <c r="A273">
        <v>2017</v>
      </c>
      <c r="B273" s="10" t="s">
        <v>179</v>
      </c>
      <c r="C273" s="15">
        <v>170496</v>
      </c>
      <c r="D273" s="20"/>
      <c r="E273" s="16"/>
      <c r="F273" s="19"/>
      <c r="G273" s="20"/>
      <c r="H273" s="20"/>
      <c r="I273" s="20"/>
    </row>
    <row r="274" spans="1:9">
      <c r="A274">
        <v>2017</v>
      </c>
      <c r="B274" s="10" t="s">
        <v>180</v>
      </c>
      <c r="C274" s="15">
        <v>137057</v>
      </c>
      <c r="D274" s="20"/>
      <c r="E274" s="16"/>
      <c r="F274" s="19"/>
      <c r="G274" s="20"/>
      <c r="H274" s="20"/>
      <c r="I274" s="20"/>
    </row>
    <row r="275" spans="1:9">
      <c r="A275">
        <v>2017</v>
      </c>
      <c r="B275" s="10" t="s">
        <v>181</v>
      </c>
      <c r="C275" s="15">
        <v>50512</v>
      </c>
      <c r="D275" s="20"/>
      <c r="E275" s="16"/>
      <c r="F275" s="19"/>
      <c r="G275" s="20"/>
      <c r="H275" s="20"/>
      <c r="I275" s="20"/>
    </row>
    <row r="276" spans="1:9">
      <c r="A276">
        <v>2017</v>
      </c>
      <c r="B276" s="10" t="s">
        <v>287</v>
      </c>
      <c r="D276" s="16"/>
      <c r="E276" s="16"/>
      <c r="F276" s="19"/>
      <c r="G276" s="16"/>
      <c r="H276" s="20"/>
      <c r="I276" s="20"/>
    </row>
    <row r="277" spans="1:9">
      <c r="A277">
        <v>2017</v>
      </c>
      <c r="B277" s="10" t="s">
        <v>305</v>
      </c>
      <c r="C277" s="15">
        <v>192191</v>
      </c>
      <c r="D277" s="20"/>
      <c r="E277" s="16"/>
      <c r="F277" s="19"/>
      <c r="G277" s="20"/>
      <c r="H277" s="20"/>
      <c r="I277" s="20"/>
    </row>
    <row r="278" spans="1:9">
      <c r="A278">
        <v>2017</v>
      </c>
      <c r="B278" s="10" t="s">
        <v>182</v>
      </c>
      <c r="D278" s="16"/>
      <c r="E278" s="16"/>
      <c r="F278" s="19"/>
      <c r="G278" s="16"/>
      <c r="H278" s="20"/>
      <c r="I278" s="20"/>
    </row>
    <row r="279" spans="1:9">
      <c r="A279">
        <v>2017</v>
      </c>
      <c r="B279" s="10" t="s">
        <v>183</v>
      </c>
      <c r="D279" s="16"/>
      <c r="E279" s="16"/>
      <c r="F279" s="19"/>
      <c r="G279" s="16"/>
      <c r="H279" s="20"/>
      <c r="I279" s="20"/>
    </row>
    <row r="280" spans="1:9">
      <c r="A280">
        <v>2017</v>
      </c>
      <c r="B280" s="10" t="s">
        <v>185</v>
      </c>
      <c r="C280" s="15">
        <v>125463</v>
      </c>
      <c r="D280" s="20"/>
      <c r="E280" s="16"/>
      <c r="F280" s="19"/>
      <c r="G280" s="20"/>
      <c r="H280" s="20"/>
      <c r="I280" s="20"/>
    </row>
    <row r="281" spans="1:9">
      <c r="A281">
        <v>2017</v>
      </c>
      <c r="B281" s="10" t="s">
        <v>184</v>
      </c>
      <c r="C281" s="15">
        <v>170384</v>
      </c>
      <c r="D281" s="20"/>
      <c r="E281" s="16"/>
      <c r="F281" s="19"/>
      <c r="G281" s="20"/>
      <c r="H281" s="20"/>
      <c r="I281" s="20"/>
    </row>
    <row r="282" spans="1:9">
      <c r="A282">
        <v>2017</v>
      </c>
      <c r="B282" s="10" t="s">
        <v>186</v>
      </c>
      <c r="C282" s="15">
        <v>732620</v>
      </c>
      <c r="D282" s="20"/>
      <c r="E282" s="16"/>
      <c r="F282" s="19"/>
      <c r="G282" s="20"/>
      <c r="H282" s="20"/>
      <c r="I282" s="20"/>
    </row>
    <row r="283" spans="1:9">
      <c r="A283">
        <v>2017</v>
      </c>
      <c r="B283" s="10" t="s">
        <v>187</v>
      </c>
      <c r="D283" s="16"/>
      <c r="E283" s="16"/>
      <c r="F283" s="19"/>
      <c r="G283" s="16"/>
      <c r="H283" s="20"/>
      <c r="I283" s="20"/>
    </row>
    <row r="284" spans="1:9">
      <c r="A284">
        <v>2017</v>
      </c>
      <c r="B284" s="10" t="s">
        <v>276</v>
      </c>
      <c r="C284" s="15">
        <v>211951</v>
      </c>
      <c r="D284" s="20"/>
      <c r="E284" s="16"/>
      <c r="F284" s="19"/>
      <c r="G284" s="20"/>
      <c r="H284" s="20"/>
      <c r="I284" s="20"/>
    </row>
    <row r="285" spans="1:9">
      <c r="A285">
        <v>2017</v>
      </c>
      <c r="B285" s="10" t="s">
        <v>270</v>
      </c>
      <c r="C285" s="15">
        <v>397771</v>
      </c>
      <c r="D285" s="20"/>
      <c r="E285" s="16"/>
      <c r="F285" s="19"/>
      <c r="G285" s="20"/>
      <c r="H285" s="20"/>
      <c r="I285" s="20"/>
    </row>
    <row r="286" spans="1:9">
      <c r="A286">
        <v>2017</v>
      </c>
      <c r="B286" s="10" t="s">
        <v>188</v>
      </c>
      <c r="C286" s="15">
        <v>15715</v>
      </c>
      <c r="D286" s="20"/>
      <c r="E286" s="16"/>
      <c r="F286" s="19"/>
      <c r="G286" s="20"/>
      <c r="H286" s="20"/>
      <c r="I286" s="20"/>
    </row>
    <row r="287" spans="1:9">
      <c r="A287">
        <v>2017</v>
      </c>
      <c r="B287" s="10" t="s">
        <v>233</v>
      </c>
      <c r="C287" s="15">
        <v>563585</v>
      </c>
      <c r="D287" s="20"/>
      <c r="E287" s="16"/>
      <c r="F287" s="19"/>
      <c r="G287" s="20"/>
      <c r="H287" s="20"/>
      <c r="I287" s="20"/>
    </row>
    <row r="288" spans="1:9">
      <c r="A288">
        <v>2017</v>
      </c>
      <c r="B288" s="10" t="s">
        <v>277</v>
      </c>
      <c r="C288" s="15">
        <v>146009</v>
      </c>
      <c r="D288" s="20"/>
      <c r="E288" s="16"/>
      <c r="F288" s="19"/>
      <c r="G288" s="20"/>
      <c r="H288" s="20"/>
      <c r="I288" s="20"/>
    </row>
    <row r="289" spans="1:9">
      <c r="A289">
        <v>2017</v>
      </c>
      <c r="B289" s="10" t="s">
        <v>236</v>
      </c>
      <c r="C289" s="15">
        <v>160116</v>
      </c>
      <c r="D289" s="20"/>
      <c r="E289" s="16"/>
      <c r="F289" s="19"/>
      <c r="G289" s="20"/>
      <c r="H289" s="20"/>
      <c r="I289" s="20"/>
    </row>
    <row r="290" spans="1:9">
      <c r="A290">
        <v>2017</v>
      </c>
      <c r="B290" s="10" t="s">
        <v>238</v>
      </c>
      <c r="D290" s="16"/>
      <c r="E290" s="16"/>
      <c r="F290" s="19"/>
      <c r="G290" s="16"/>
      <c r="H290" s="20"/>
      <c r="I290" s="20"/>
    </row>
    <row r="291" spans="1:9">
      <c r="A291">
        <v>2017</v>
      </c>
      <c r="B291" s="10" t="s">
        <v>189</v>
      </c>
      <c r="C291" s="15">
        <v>344188</v>
      </c>
      <c r="D291" s="20"/>
      <c r="E291" s="16"/>
      <c r="F291" s="19"/>
      <c r="G291" s="20"/>
      <c r="H291" s="20"/>
      <c r="I291" s="20"/>
    </row>
    <row r="292" spans="1:9">
      <c r="A292">
        <v>2017</v>
      </c>
      <c r="B292" s="10" t="s">
        <v>260</v>
      </c>
      <c r="C292" s="15">
        <v>171212</v>
      </c>
      <c r="D292" s="20"/>
      <c r="E292" s="16"/>
      <c r="F292" s="19"/>
      <c r="G292" s="20"/>
      <c r="H292" s="20"/>
      <c r="I292" s="20"/>
    </row>
    <row r="293" spans="1:9">
      <c r="A293">
        <v>2017</v>
      </c>
      <c r="B293" s="10" t="s">
        <v>214</v>
      </c>
      <c r="D293" s="16"/>
      <c r="E293" s="16"/>
      <c r="F293" s="19"/>
      <c r="G293" s="16"/>
      <c r="H293" s="20"/>
      <c r="I293" s="20"/>
    </row>
    <row r="294" spans="1:9">
      <c r="A294">
        <v>2017</v>
      </c>
      <c r="B294" s="10" t="s">
        <v>190</v>
      </c>
      <c r="C294" s="15">
        <v>819798</v>
      </c>
      <c r="D294" s="20"/>
      <c r="E294" s="16"/>
      <c r="F294" s="19"/>
      <c r="G294" s="20"/>
      <c r="H294" s="20"/>
      <c r="I294" s="20"/>
    </row>
    <row r="295" spans="1:9">
      <c r="A295">
        <v>2017</v>
      </c>
      <c r="B295" s="10" t="s">
        <v>191</v>
      </c>
      <c r="C295" s="15">
        <v>79605</v>
      </c>
      <c r="D295" s="20"/>
      <c r="E295" s="16"/>
      <c r="F295" s="19"/>
      <c r="G295" s="20"/>
      <c r="H295" s="20"/>
      <c r="I295" s="20"/>
    </row>
    <row r="296" spans="1:9">
      <c r="A296">
        <v>2017</v>
      </c>
      <c r="B296" s="10" t="s">
        <v>192</v>
      </c>
      <c r="C296" s="15">
        <v>25332</v>
      </c>
      <c r="D296" s="20"/>
      <c r="E296" s="16"/>
      <c r="F296" s="19"/>
      <c r="G296" s="20"/>
      <c r="H296" s="16"/>
      <c r="I296" s="20"/>
    </row>
    <row r="297" spans="1:9">
      <c r="A297">
        <v>2017</v>
      </c>
      <c r="B297" s="10" t="s">
        <v>193</v>
      </c>
      <c r="C297" s="15">
        <v>24214</v>
      </c>
      <c r="D297" s="20"/>
      <c r="E297" s="16"/>
      <c r="F297" s="19"/>
      <c r="G297" s="20"/>
      <c r="H297" s="20"/>
      <c r="I297" s="20"/>
    </row>
    <row r="298" spans="1:9">
      <c r="A298">
        <v>2017</v>
      </c>
      <c r="B298" s="10" t="s">
        <v>194</v>
      </c>
      <c r="C298" s="15">
        <v>138998</v>
      </c>
      <c r="D298" s="20"/>
      <c r="E298" s="16"/>
      <c r="F298" s="19"/>
      <c r="G298" s="20"/>
      <c r="H298" s="20"/>
      <c r="I298" s="20"/>
    </row>
    <row r="299" spans="1:9">
      <c r="A299">
        <v>2017</v>
      </c>
      <c r="B299" s="10" t="s">
        <v>220</v>
      </c>
      <c r="C299" s="15">
        <v>423694</v>
      </c>
      <c r="D299" s="20"/>
      <c r="E299" s="16"/>
      <c r="F299" s="19"/>
      <c r="G299" s="20"/>
      <c r="H299" s="20"/>
      <c r="I299" s="20"/>
    </row>
    <row r="300" spans="1:9">
      <c r="A300">
        <v>2017</v>
      </c>
      <c r="B300" s="10" t="s">
        <v>195</v>
      </c>
      <c r="C300" s="15">
        <v>64956</v>
      </c>
      <c r="D300" s="20"/>
      <c r="E300" s="16"/>
      <c r="F300" s="19"/>
      <c r="G300" s="20"/>
      <c r="H300" s="20"/>
      <c r="I300" s="20"/>
    </row>
    <row r="302" spans="1:9">
      <c r="B302" s="12" t="s">
        <v>297</v>
      </c>
      <c r="C302" s="21">
        <f>SUM(C2:C300)</f>
        <v>78663670</v>
      </c>
    </row>
    <row r="303" spans="1:9">
      <c r="B303" s="12"/>
    </row>
    <row r="304" spans="1:9">
      <c r="B304" s="12" t="s">
        <v>296</v>
      </c>
      <c r="C304" s="21">
        <v>78663670</v>
      </c>
    </row>
    <row r="306" spans="2:3">
      <c r="B306" s="13" t="s">
        <v>295</v>
      </c>
      <c r="C306" s="22">
        <f>C302-C304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AADB-E110-8C48-B5B4-B7DCE9FB2D6A}">
  <sheetPr>
    <tabColor rgb="FFFFFF00"/>
  </sheetPr>
  <dimension ref="A1:I314"/>
  <sheetViews>
    <sheetView workbookViewId="0">
      <selection activeCell="A2" sqref="A2:C308"/>
    </sheetView>
  </sheetViews>
  <sheetFormatPr baseColWidth="10" defaultRowHeight="16"/>
  <cols>
    <col min="2" max="2" width="22.1640625" style="10" bestFit="1" customWidth="1"/>
    <col min="3" max="3" width="15" style="10" bestFit="1" customWidth="1"/>
  </cols>
  <sheetData>
    <row r="1" spans="1:9">
      <c r="A1" t="s">
        <v>356</v>
      </c>
      <c r="B1" s="10" t="s">
        <v>293</v>
      </c>
      <c r="C1" s="10" t="s">
        <v>294</v>
      </c>
    </row>
    <row r="2" spans="1:9">
      <c r="A2">
        <v>2018</v>
      </c>
      <c r="B2" s="10" t="s">
        <v>207</v>
      </c>
      <c r="D2" s="16"/>
      <c r="E2" s="16"/>
      <c r="F2" s="19"/>
      <c r="G2" s="16"/>
      <c r="H2" s="18"/>
      <c r="I2" s="18"/>
    </row>
    <row r="3" spans="1:9">
      <c r="A3">
        <v>2018</v>
      </c>
      <c r="B3" s="10" t="s">
        <v>306</v>
      </c>
      <c r="C3" s="23">
        <v>2438169</v>
      </c>
      <c r="D3" s="20"/>
      <c r="E3" s="16"/>
      <c r="F3" s="19"/>
      <c r="G3" s="20"/>
      <c r="H3" s="20"/>
      <c r="I3" s="20"/>
    </row>
    <row r="4" spans="1:9">
      <c r="A4">
        <v>2018</v>
      </c>
      <c r="B4" s="10" t="s">
        <v>210</v>
      </c>
      <c r="C4" s="23">
        <v>425068</v>
      </c>
      <c r="D4" s="20"/>
      <c r="E4" s="16"/>
      <c r="F4" s="19"/>
      <c r="G4" s="20"/>
      <c r="H4" s="20"/>
      <c r="I4" s="20"/>
    </row>
    <row r="5" spans="1:9">
      <c r="A5">
        <v>2018</v>
      </c>
      <c r="B5" s="10" t="s">
        <v>204</v>
      </c>
      <c r="D5" s="16"/>
      <c r="E5" s="16"/>
      <c r="F5" s="19"/>
      <c r="G5" s="16"/>
      <c r="H5" s="20"/>
      <c r="I5" s="20"/>
    </row>
    <row r="6" spans="1:9">
      <c r="A6">
        <v>2018</v>
      </c>
      <c r="B6" s="10" t="s">
        <v>307</v>
      </c>
      <c r="C6" s="23">
        <v>1303544</v>
      </c>
      <c r="D6" s="20"/>
      <c r="E6" s="16"/>
      <c r="F6" s="19"/>
      <c r="G6" s="20"/>
      <c r="H6" s="20"/>
      <c r="I6" s="20"/>
    </row>
    <row r="7" spans="1:9">
      <c r="A7">
        <v>2018</v>
      </c>
      <c r="B7" s="10" t="s">
        <v>232</v>
      </c>
      <c r="C7" s="23">
        <v>435904</v>
      </c>
      <c r="D7" s="20"/>
      <c r="E7" s="16"/>
      <c r="F7" s="19"/>
      <c r="G7" s="20"/>
      <c r="H7" s="20"/>
      <c r="I7" s="20"/>
    </row>
    <row r="8" spans="1:9">
      <c r="A8">
        <v>2018</v>
      </c>
      <c r="B8" s="10" t="s">
        <v>0</v>
      </c>
      <c r="C8" s="10">
        <v>394</v>
      </c>
      <c r="D8" s="16"/>
      <c r="E8" s="16"/>
      <c r="F8" s="19"/>
      <c r="G8" s="16"/>
      <c r="H8" s="20"/>
      <c r="I8" s="20"/>
    </row>
    <row r="9" spans="1:9">
      <c r="A9">
        <v>2018</v>
      </c>
      <c r="B9" s="10" t="s">
        <v>1</v>
      </c>
      <c r="C9" s="23">
        <v>69931</v>
      </c>
      <c r="D9" s="20"/>
      <c r="E9" s="16"/>
      <c r="F9" s="19"/>
      <c r="G9" s="20"/>
      <c r="H9" s="20"/>
      <c r="I9" s="20"/>
    </row>
    <row r="10" spans="1:9">
      <c r="A10">
        <v>2018</v>
      </c>
      <c r="B10" s="10" t="s">
        <v>2</v>
      </c>
      <c r="C10" s="23">
        <v>193711</v>
      </c>
      <c r="D10" s="20"/>
      <c r="E10" s="16"/>
      <c r="F10" s="19"/>
      <c r="G10" s="20"/>
      <c r="H10" s="20"/>
      <c r="I10" s="20"/>
    </row>
    <row r="11" spans="1:9">
      <c r="A11">
        <v>2018</v>
      </c>
      <c r="B11" s="10" t="s">
        <v>3</v>
      </c>
      <c r="C11" s="23">
        <v>558829</v>
      </c>
      <c r="D11" s="20"/>
      <c r="E11" s="16"/>
      <c r="F11" s="19"/>
      <c r="G11" s="20"/>
      <c r="H11" s="20"/>
      <c r="I11" s="20"/>
    </row>
    <row r="12" spans="1:9">
      <c r="A12">
        <v>2018</v>
      </c>
      <c r="B12" s="10" t="s">
        <v>212</v>
      </c>
      <c r="D12" s="16"/>
      <c r="E12" s="16"/>
      <c r="F12" s="19"/>
      <c r="G12" s="16"/>
      <c r="H12" s="20"/>
      <c r="I12" s="20"/>
    </row>
    <row r="13" spans="1:9">
      <c r="A13">
        <v>2018</v>
      </c>
      <c r="B13" s="10" t="s">
        <v>4</v>
      </c>
      <c r="C13" s="23">
        <v>116123</v>
      </c>
      <c r="D13" s="20"/>
      <c r="E13" s="16"/>
      <c r="F13" s="19"/>
      <c r="G13" s="20"/>
      <c r="H13" s="20"/>
      <c r="I13" s="20"/>
    </row>
    <row r="14" spans="1:9">
      <c r="A14">
        <v>2018</v>
      </c>
      <c r="B14" s="10" t="s">
        <v>5</v>
      </c>
      <c r="C14" s="23">
        <v>81968</v>
      </c>
      <c r="D14" s="20"/>
      <c r="E14" s="16"/>
      <c r="F14" s="19"/>
      <c r="G14" s="20"/>
      <c r="H14" s="16"/>
      <c r="I14" s="20"/>
    </row>
    <row r="15" spans="1:9">
      <c r="A15">
        <v>2018</v>
      </c>
      <c r="B15" s="10" t="s">
        <v>6</v>
      </c>
      <c r="C15" s="23">
        <v>209336</v>
      </c>
      <c r="D15" s="20"/>
      <c r="E15" s="16"/>
      <c r="F15" s="19"/>
      <c r="G15" s="20"/>
      <c r="H15" s="20"/>
      <c r="I15" s="20"/>
    </row>
    <row r="16" spans="1:9">
      <c r="A16">
        <v>2018</v>
      </c>
      <c r="B16" s="10" t="s">
        <v>7</v>
      </c>
      <c r="C16" s="23">
        <v>724966</v>
      </c>
      <c r="D16" s="20"/>
      <c r="E16" s="16"/>
      <c r="F16" s="19"/>
      <c r="G16" s="20"/>
      <c r="H16" s="20"/>
      <c r="I16" s="20"/>
    </row>
    <row r="17" spans="1:9">
      <c r="A17">
        <v>2018</v>
      </c>
      <c r="B17" s="10" t="s">
        <v>285</v>
      </c>
      <c r="C17" s="23">
        <v>591490</v>
      </c>
      <c r="D17" s="20"/>
      <c r="E17" s="16"/>
      <c r="F17" s="19"/>
      <c r="G17" s="20"/>
      <c r="H17" s="20"/>
      <c r="I17" s="20"/>
    </row>
    <row r="18" spans="1:9">
      <c r="A18">
        <v>2018</v>
      </c>
      <c r="B18" s="10" t="s">
        <v>8</v>
      </c>
      <c r="C18" s="23">
        <v>627920</v>
      </c>
      <c r="D18" s="20"/>
      <c r="E18" s="16"/>
      <c r="F18" s="19"/>
      <c r="G18" s="20"/>
      <c r="H18" s="20"/>
      <c r="I18" s="20"/>
    </row>
    <row r="19" spans="1:9">
      <c r="A19">
        <v>2018</v>
      </c>
      <c r="B19" s="10" t="s">
        <v>209</v>
      </c>
      <c r="D19" s="16"/>
      <c r="E19" s="16"/>
      <c r="F19" s="19"/>
      <c r="G19" s="16"/>
      <c r="H19" s="20"/>
      <c r="I19" s="20"/>
    </row>
    <row r="20" spans="1:9">
      <c r="A20">
        <v>2018</v>
      </c>
      <c r="B20" s="10" t="s">
        <v>301</v>
      </c>
      <c r="C20" s="23">
        <v>198520</v>
      </c>
      <c r="D20" s="20"/>
      <c r="E20" s="16"/>
      <c r="F20" s="19"/>
      <c r="G20" s="20"/>
      <c r="H20" s="20"/>
      <c r="I20" s="20"/>
    </row>
    <row r="21" spans="1:9">
      <c r="A21">
        <v>2018</v>
      </c>
      <c r="B21" s="10" t="s">
        <v>9</v>
      </c>
      <c r="C21" s="23">
        <v>116598</v>
      </c>
      <c r="D21" s="20"/>
      <c r="E21" s="16"/>
      <c r="F21" s="19"/>
      <c r="G21" s="20"/>
      <c r="H21" s="20"/>
      <c r="I21" s="20"/>
    </row>
    <row r="22" spans="1:9">
      <c r="A22">
        <v>2018</v>
      </c>
      <c r="B22" s="10" t="s">
        <v>196</v>
      </c>
      <c r="D22" s="16"/>
      <c r="E22" s="16"/>
      <c r="F22" s="19"/>
      <c r="G22" s="16"/>
      <c r="H22" s="20"/>
      <c r="I22" s="20"/>
    </row>
    <row r="23" spans="1:9">
      <c r="A23">
        <v>2018</v>
      </c>
      <c r="B23" s="10" t="s">
        <v>10</v>
      </c>
      <c r="C23" s="23">
        <v>586140</v>
      </c>
      <c r="D23" s="20"/>
      <c r="E23" s="16"/>
      <c r="F23" s="19"/>
      <c r="G23" s="20"/>
      <c r="H23" s="20"/>
      <c r="I23" s="20"/>
    </row>
    <row r="24" spans="1:9">
      <c r="A24">
        <v>2018</v>
      </c>
      <c r="B24" s="10" t="s">
        <v>223</v>
      </c>
      <c r="C24" s="23">
        <v>544913</v>
      </c>
      <c r="D24" s="20"/>
      <c r="E24" s="16"/>
      <c r="F24" s="19"/>
      <c r="G24" s="20"/>
      <c r="H24" s="20"/>
      <c r="I24" s="20"/>
    </row>
    <row r="25" spans="1:9">
      <c r="A25">
        <v>2018</v>
      </c>
      <c r="B25" s="10" t="s">
        <v>11</v>
      </c>
      <c r="C25" s="23">
        <v>75996</v>
      </c>
      <c r="D25" s="20"/>
      <c r="E25" s="16"/>
      <c r="F25" s="19"/>
      <c r="G25" s="20"/>
      <c r="H25" s="20"/>
      <c r="I25" s="20"/>
    </row>
    <row r="26" spans="1:9">
      <c r="A26">
        <v>2018</v>
      </c>
      <c r="B26" s="10" t="s">
        <v>12</v>
      </c>
      <c r="C26" s="23">
        <v>145655</v>
      </c>
      <c r="D26" s="20"/>
      <c r="E26" s="16"/>
      <c r="F26" s="19"/>
      <c r="G26" s="20"/>
      <c r="H26" s="20"/>
      <c r="I26" s="20"/>
    </row>
    <row r="27" spans="1:9">
      <c r="A27">
        <v>2018</v>
      </c>
      <c r="B27" s="10" t="s">
        <v>13</v>
      </c>
      <c r="C27" s="23">
        <v>206757</v>
      </c>
      <c r="D27" s="20"/>
      <c r="E27" s="16"/>
      <c r="F27" s="19"/>
      <c r="G27" s="20"/>
      <c r="H27" s="20"/>
      <c r="I27" s="20"/>
    </row>
    <row r="28" spans="1:9">
      <c r="A28">
        <v>2018</v>
      </c>
      <c r="B28" s="10" t="s">
        <v>14</v>
      </c>
      <c r="C28" s="23">
        <v>306673</v>
      </c>
      <c r="D28" s="20"/>
      <c r="E28" s="16"/>
      <c r="F28" s="19"/>
      <c r="G28" s="20"/>
      <c r="H28" s="20"/>
      <c r="I28" s="20"/>
    </row>
    <row r="29" spans="1:9">
      <c r="A29">
        <v>2018</v>
      </c>
      <c r="B29" s="10" t="s">
        <v>264</v>
      </c>
      <c r="C29" s="23">
        <v>542301</v>
      </c>
      <c r="D29" s="20"/>
      <c r="E29" s="16"/>
      <c r="F29" s="19"/>
      <c r="G29" s="20"/>
      <c r="H29" s="20"/>
      <c r="I29" s="20"/>
    </row>
    <row r="30" spans="1:9">
      <c r="A30">
        <v>2018</v>
      </c>
      <c r="B30" s="10" t="s">
        <v>15</v>
      </c>
      <c r="D30" s="16"/>
      <c r="E30" s="16"/>
      <c r="F30" s="19"/>
      <c r="G30" s="16"/>
      <c r="H30" s="20"/>
      <c r="I30" s="20"/>
    </row>
    <row r="31" spans="1:9">
      <c r="A31">
        <v>2018</v>
      </c>
      <c r="B31" s="10" t="s">
        <v>16</v>
      </c>
      <c r="C31" s="23">
        <v>233779</v>
      </c>
      <c r="D31" s="20"/>
      <c r="E31" s="16"/>
      <c r="F31" s="19"/>
      <c r="G31" s="20"/>
      <c r="H31" s="20"/>
      <c r="I31" s="20"/>
    </row>
    <row r="32" spans="1:9">
      <c r="A32">
        <v>2018</v>
      </c>
      <c r="B32" s="10" t="s">
        <v>17</v>
      </c>
      <c r="D32" s="16"/>
      <c r="E32" s="16"/>
      <c r="F32" s="19"/>
      <c r="G32" s="16"/>
      <c r="H32" s="20"/>
      <c r="I32" s="20"/>
    </row>
    <row r="33" spans="1:9">
      <c r="A33">
        <v>2018</v>
      </c>
      <c r="B33" s="10" t="s">
        <v>18</v>
      </c>
      <c r="D33" s="16"/>
      <c r="E33" s="16"/>
      <c r="F33" s="19"/>
      <c r="G33" s="16"/>
      <c r="H33" s="20"/>
      <c r="I33" s="20"/>
    </row>
    <row r="34" spans="1:9">
      <c r="A34">
        <v>2018</v>
      </c>
      <c r="B34" s="10" t="s">
        <v>19</v>
      </c>
      <c r="C34" s="23">
        <v>785879</v>
      </c>
      <c r="D34" s="20"/>
      <c r="E34" s="16"/>
      <c r="F34" s="19"/>
      <c r="G34" s="20"/>
      <c r="H34" s="20"/>
      <c r="I34" s="20"/>
    </row>
    <row r="35" spans="1:9">
      <c r="A35">
        <v>2018</v>
      </c>
      <c r="B35" s="10" t="s">
        <v>219</v>
      </c>
      <c r="C35" s="23">
        <v>1208716</v>
      </c>
      <c r="D35" s="20"/>
      <c r="E35" s="16"/>
      <c r="F35" s="19"/>
      <c r="G35" s="20"/>
      <c r="H35" s="20"/>
      <c r="I35" s="20"/>
    </row>
    <row r="36" spans="1:9">
      <c r="A36">
        <v>2018</v>
      </c>
      <c r="B36" s="10" t="s">
        <v>20</v>
      </c>
      <c r="D36" s="16"/>
      <c r="E36" s="16"/>
      <c r="F36" s="19"/>
      <c r="G36" s="16"/>
      <c r="H36" s="20"/>
      <c r="I36" s="20"/>
    </row>
    <row r="37" spans="1:9">
      <c r="A37">
        <v>2018</v>
      </c>
      <c r="B37" s="10" t="s">
        <v>21</v>
      </c>
      <c r="D37" s="16"/>
      <c r="E37" s="16"/>
      <c r="F37" s="19"/>
      <c r="G37" s="16"/>
      <c r="H37" s="20"/>
      <c r="I37" s="20"/>
    </row>
    <row r="38" spans="1:9">
      <c r="A38">
        <v>2018</v>
      </c>
      <c r="B38" s="10" t="s">
        <v>22</v>
      </c>
      <c r="C38" s="23">
        <v>110270</v>
      </c>
      <c r="D38" s="20"/>
      <c r="E38" s="16"/>
      <c r="F38" s="19"/>
      <c r="G38" s="20"/>
      <c r="H38" s="20"/>
      <c r="I38" s="20"/>
    </row>
    <row r="39" spans="1:9">
      <c r="A39">
        <v>2018</v>
      </c>
      <c r="B39" s="10" t="s">
        <v>23</v>
      </c>
      <c r="C39" s="23">
        <v>246441</v>
      </c>
      <c r="D39" s="20"/>
      <c r="E39" s="16"/>
      <c r="F39" s="19"/>
      <c r="G39" s="20"/>
      <c r="H39" s="20"/>
      <c r="I39" s="20"/>
    </row>
    <row r="40" spans="1:9">
      <c r="A40">
        <v>2018</v>
      </c>
      <c r="B40" s="10" t="s">
        <v>24</v>
      </c>
      <c r="D40" s="16"/>
      <c r="E40" s="16"/>
      <c r="F40" s="19"/>
      <c r="G40" s="16"/>
      <c r="H40" s="20"/>
      <c r="I40" s="20"/>
    </row>
    <row r="41" spans="1:9">
      <c r="A41">
        <v>2018</v>
      </c>
      <c r="B41" s="10" t="s">
        <v>25</v>
      </c>
      <c r="C41" s="23">
        <v>92357</v>
      </c>
      <c r="D41" s="20"/>
      <c r="E41" s="16"/>
      <c r="F41" s="19"/>
      <c r="G41" s="20"/>
      <c r="H41" s="20"/>
      <c r="I41" s="20"/>
    </row>
    <row r="42" spans="1:9">
      <c r="A42">
        <v>2018</v>
      </c>
      <c r="B42" s="10" t="s">
        <v>26</v>
      </c>
      <c r="C42" s="23">
        <v>194614</v>
      </c>
      <c r="D42" s="20"/>
      <c r="E42" s="16"/>
      <c r="F42" s="19"/>
      <c r="G42" s="20"/>
      <c r="H42" s="20"/>
      <c r="I42" s="20"/>
    </row>
    <row r="43" spans="1:9">
      <c r="A43">
        <v>2018</v>
      </c>
      <c r="B43" s="10" t="s">
        <v>27</v>
      </c>
      <c r="C43" s="23">
        <v>4958630</v>
      </c>
      <c r="D43" s="20"/>
      <c r="E43" s="16"/>
      <c r="F43" s="19"/>
      <c r="G43" s="20"/>
      <c r="H43" s="20"/>
      <c r="I43" s="20"/>
    </row>
    <row r="44" spans="1:9">
      <c r="A44">
        <v>2018</v>
      </c>
      <c r="B44" s="10" t="s">
        <v>197</v>
      </c>
      <c r="C44" s="23">
        <v>836184</v>
      </c>
      <c r="D44" s="20"/>
      <c r="E44" s="16"/>
      <c r="F44" s="19"/>
      <c r="G44" s="20"/>
      <c r="H44" s="20"/>
      <c r="I44" s="20"/>
    </row>
    <row r="45" spans="1:9">
      <c r="A45">
        <v>2018</v>
      </c>
      <c r="B45" s="10" t="s">
        <v>28</v>
      </c>
      <c r="C45" s="23">
        <v>208578</v>
      </c>
      <c r="D45" s="20"/>
      <c r="E45" s="16"/>
      <c r="F45" s="19"/>
      <c r="G45" s="20"/>
      <c r="H45" s="20"/>
      <c r="I45" s="20"/>
    </row>
    <row r="46" spans="1:9">
      <c r="A46">
        <v>2018</v>
      </c>
      <c r="B46" s="10" t="s">
        <v>29</v>
      </c>
      <c r="C46" s="23">
        <v>129678</v>
      </c>
      <c r="D46" s="20"/>
      <c r="E46" s="16"/>
      <c r="F46" s="19"/>
      <c r="G46" s="20"/>
      <c r="H46" s="20"/>
      <c r="I46" s="20"/>
    </row>
    <row r="47" spans="1:9">
      <c r="A47">
        <v>2018</v>
      </c>
      <c r="B47" s="10" t="s">
        <v>241</v>
      </c>
      <c r="C47" s="23">
        <v>191604</v>
      </c>
      <c r="D47" s="20"/>
      <c r="E47" s="16"/>
      <c r="F47" s="19"/>
      <c r="G47" s="20"/>
      <c r="H47" s="20"/>
      <c r="I47" s="20"/>
    </row>
    <row r="48" spans="1:9">
      <c r="A48">
        <v>2018</v>
      </c>
      <c r="B48" s="10" t="s">
        <v>252</v>
      </c>
      <c r="C48" s="23">
        <v>313620</v>
      </c>
      <c r="D48" s="20"/>
      <c r="E48" s="16"/>
      <c r="F48" s="19"/>
      <c r="G48" s="20"/>
      <c r="H48" s="20"/>
      <c r="I48" s="20"/>
    </row>
    <row r="49" spans="1:9">
      <c r="A49">
        <v>2018</v>
      </c>
      <c r="B49" s="10" t="s">
        <v>30</v>
      </c>
      <c r="C49" s="23">
        <v>272569</v>
      </c>
      <c r="D49" s="20"/>
      <c r="E49" s="16"/>
      <c r="F49" s="19"/>
      <c r="G49" s="20"/>
      <c r="H49" s="20"/>
      <c r="I49" s="20"/>
    </row>
    <row r="50" spans="1:9">
      <c r="A50">
        <v>2018</v>
      </c>
      <c r="B50" s="10" t="s">
        <v>31</v>
      </c>
      <c r="C50" s="23">
        <v>265310</v>
      </c>
      <c r="D50" s="20"/>
      <c r="E50" s="16"/>
      <c r="F50" s="19"/>
      <c r="G50" s="20"/>
      <c r="H50" s="20"/>
      <c r="I50" s="20"/>
    </row>
    <row r="51" spans="1:9">
      <c r="A51">
        <v>2018</v>
      </c>
      <c r="B51" s="10" t="s">
        <v>32</v>
      </c>
      <c r="C51" s="23">
        <v>293118</v>
      </c>
      <c r="D51" s="20"/>
      <c r="E51" s="16"/>
      <c r="F51" s="19"/>
      <c r="G51" s="20"/>
      <c r="H51" s="20"/>
      <c r="I51" s="20"/>
    </row>
    <row r="52" spans="1:9">
      <c r="A52">
        <v>2018</v>
      </c>
      <c r="B52" s="10" t="s">
        <v>33</v>
      </c>
      <c r="C52" s="23">
        <v>100373</v>
      </c>
      <c r="D52" s="20"/>
      <c r="E52" s="16"/>
      <c r="F52" s="19"/>
      <c r="G52" s="20"/>
      <c r="H52" s="20"/>
      <c r="I52" s="20"/>
    </row>
    <row r="53" spans="1:9">
      <c r="A53">
        <v>2018</v>
      </c>
      <c r="B53" s="10" t="s">
        <v>308</v>
      </c>
      <c r="C53" s="23">
        <v>5257410</v>
      </c>
      <c r="D53" s="20"/>
      <c r="E53" s="16"/>
      <c r="F53" s="19"/>
      <c r="G53" s="20"/>
      <c r="H53" s="20"/>
      <c r="I53" s="20"/>
    </row>
    <row r="54" spans="1:9">
      <c r="A54">
        <v>2018</v>
      </c>
      <c r="B54" s="10" t="s">
        <v>229</v>
      </c>
      <c r="D54" s="16"/>
      <c r="E54" s="16"/>
      <c r="F54" s="19"/>
      <c r="G54" s="16"/>
      <c r="H54" s="20"/>
      <c r="I54" s="20"/>
    </row>
    <row r="55" spans="1:9">
      <c r="A55">
        <v>2018</v>
      </c>
      <c r="B55" s="10" t="s">
        <v>34</v>
      </c>
      <c r="C55" s="23">
        <v>129609</v>
      </c>
      <c r="D55" s="20"/>
      <c r="E55" s="16"/>
      <c r="F55" s="19"/>
      <c r="G55" s="20"/>
      <c r="H55" s="20"/>
      <c r="I55" s="20"/>
    </row>
    <row r="56" spans="1:9">
      <c r="A56">
        <v>2018</v>
      </c>
      <c r="B56" s="10" t="s">
        <v>35</v>
      </c>
      <c r="D56" s="16"/>
      <c r="E56" s="16"/>
      <c r="F56" s="19"/>
      <c r="G56" s="16"/>
      <c r="H56" s="20"/>
      <c r="I56" s="20"/>
    </row>
    <row r="57" spans="1:9">
      <c r="A57">
        <v>2018</v>
      </c>
      <c r="B57" s="10" t="s">
        <v>36</v>
      </c>
      <c r="C57" s="23">
        <v>196123</v>
      </c>
      <c r="D57" s="20"/>
      <c r="E57" s="16"/>
      <c r="F57" s="19"/>
      <c r="G57" s="20"/>
      <c r="H57" s="20"/>
      <c r="I57" s="20"/>
    </row>
    <row r="58" spans="1:9">
      <c r="A58">
        <v>2018</v>
      </c>
      <c r="B58" s="10" t="s">
        <v>222</v>
      </c>
      <c r="D58" s="16"/>
      <c r="E58" s="16"/>
      <c r="F58" s="19"/>
      <c r="G58" s="16"/>
      <c r="H58" s="20"/>
      <c r="I58" s="20"/>
    </row>
    <row r="59" spans="1:9">
      <c r="A59">
        <v>2018</v>
      </c>
      <c r="B59" s="10" t="s">
        <v>234</v>
      </c>
      <c r="C59" s="23">
        <v>750141</v>
      </c>
      <c r="D59" s="20"/>
      <c r="E59" s="16"/>
      <c r="F59" s="19"/>
      <c r="G59" s="20"/>
      <c r="H59" s="20"/>
      <c r="I59" s="20"/>
    </row>
    <row r="60" spans="1:9">
      <c r="A60">
        <v>2018</v>
      </c>
      <c r="B60" s="10" t="s">
        <v>231</v>
      </c>
      <c r="D60" s="16"/>
      <c r="E60" s="16"/>
      <c r="F60" s="19"/>
      <c r="G60" s="16"/>
      <c r="H60" s="20"/>
      <c r="I60" s="20"/>
    </row>
    <row r="61" spans="1:9">
      <c r="A61">
        <v>2018</v>
      </c>
      <c r="B61" s="10" t="s">
        <v>37</v>
      </c>
      <c r="D61" s="16"/>
      <c r="E61" s="16"/>
      <c r="F61" s="19"/>
      <c r="G61" s="16"/>
      <c r="H61" s="20"/>
      <c r="I61" s="20"/>
    </row>
    <row r="62" spans="1:9">
      <c r="A62">
        <v>2018</v>
      </c>
      <c r="B62" s="10" t="s">
        <v>38</v>
      </c>
      <c r="C62" s="23">
        <v>2694825</v>
      </c>
      <c r="D62" s="20"/>
      <c r="E62" s="16"/>
      <c r="F62" s="19"/>
      <c r="G62" s="20"/>
      <c r="H62" s="20"/>
      <c r="I62" s="20"/>
    </row>
    <row r="63" spans="1:9">
      <c r="A63">
        <v>2018</v>
      </c>
      <c r="B63" s="10" t="s">
        <v>39</v>
      </c>
      <c r="C63" s="23">
        <v>132290</v>
      </c>
      <c r="D63" s="20"/>
      <c r="E63" s="16"/>
      <c r="F63" s="19"/>
      <c r="G63" s="20"/>
      <c r="H63" s="20"/>
      <c r="I63" s="20"/>
    </row>
    <row r="64" spans="1:9">
      <c r="A64">
        <v>2018</v>
      </c>
      <c r="B64" s="10" t="s">
        <v>40</v>
      </c>
      <c r="D64" s="16"/>
      <c r="E64" s="16"/>
      <c r="F64" s="19"/>
      <c r="G64" s="16"/>
      <c r="H64" s="20"/>
      <c r="I64" s="20"/>
    </row>
    <row r="65" spans="1:9">
      <c r="A65">
        <v>2018</v>
      </c>
      <c r="B65" s="10" t="s">
        <v>41</v>
      </c>
      <c r="C65" s="23">
        <v>123390</v>
      </c>
      <c r="D65" s="20"/>
      <c r="E65" s="16"/>
      <c r="F65" s="19"/>
      <c r="G65" s="20"/>
      <c r="H65" s="20"/>
      <c r="I65" s="20"/>
    </row>
    <row r="66" spans="1:9">
      <c r="A66">
        <v>2018</v>
      </c>
      <c r="B66" s="10" t="s">
        <v>42</v>
      </c>
      <c r="C66" s="23">
        <v>175202</v>
      </c>
      <c r="D66" s="20"/>
      <c r="E66" s="16"/>
      <c r="F66" s="19"/>
      <c r="G66" s="20"/>
      <c r="H66" s="20"/>
      <c r="I66" s="20"/>
    </row>
    <row r="67" spans="1:9">
      <c r="A67">
        <v>2018</v>
      </c>
      <c r="B67" s="10" t="s">
        <v>43</v>
      </c>
      <c r="C67" s="23">
        <v>352229</v>
      </c>
      <c r="D67" s="20"/>
      <c r="E67" s="16"/>
      <c r="F67" s="19"/>
      <c r="G67" s="20"/>
      <c r="H67" s="20"/>
      <c r="I67" s="20"/>
    </row>
    <row r="68" spans="1:9">
      <c r="A68">
        <v>2018</v>
      </c>
      <c r="B68" s="10" t="s">
        <v>203</v>
      </c>
      <c r="D68" s="16"/>
      <c r="E68" s="16"/>
      <c r="F68" s="19"/>
      <c r="G68" s="16"/>
      <c r="H68" s="16"/>
      <c r="I68" s="16"/>
    </row>
    <row r="69" spans="1:9">
      <c r="A69">
        <v>2018</v>
      </c>
      <c r="B69" s="10" t="s">
        <v>201</v>
      </c>
      <c r="C69" s="23">
        <v>27252</v>
      </c>
      <c r="D69" s="20"/>
      <c r="E69" s="16"/>
      <c r="F69" s="19"/>
      <c r="G69" s="20"/>
      <c r="H69" s="20"/>
      <c r="I69" s="20"/>
    </row>
    <row r="70" spans="1:9">
      <c r="A70">
        <v>2018</v>
      </c>
      <c r="B70" s="10" t="s">
        <v>202</v>
      </c>
      <c r="C70" s="23">
        <v>9682</v>
      </c>
      <c r="D70" s="20"/>
      <c r="E70" s="16"/>
      <c r="F70" s="19"/>
      <c r="G70" s="20"/>
      <c r="H70" s="20"/>
      <c r="I70" s="20"/>
    </row>
    <row r="71" spans="1:9">
      <c r="A71">
        <v>2018</v>
      </c>
      <c r="B71" s="10" t="s">
        <v>44</v>
      </c>
      <c r="C71" s="23">
        <v>318832</v>
      </c>
      <c r="D71" s="20"/>
      <c r="E71" s="16"/>
      <c r="F71" s="19"/>
      <c r="G71" s="20"/>
      <c r="H71" s="20"/>
      <c r="I71" s="20"/>
    </row>
    <row r="72" spans="1:9">
      <c r="A72">
        <v>2018</v>
      </c>
      <c r="B72" s="10" t="s">
        <v>45</v>
      </c>
      <c r="C72" s="23">
        <v>205518</v>
      </c>
      <c r="D72" s="20"/>
      <c r="E72" s="16"/>
      <c r="F72" s="19"/>
      <c r="G72" s="20"/>
      <c r="H72" s="20"/>
      <c r="I72" s="20"/>
    </row>
    <row r="73" spans="1:9">
      <c r="A73">
        <v>2018</v>
      </c>
      <c r="B73" s="10" t="s">
        <v>46</v>
      </c>
      <c r="C73" s="23">
        <v>106357</v>
      </c>
      <c r="D73" s="20"/>
      <c r="E73" s="16"/>
      <c r="F73" s="19"/>
      <c r="G73" s="20"/>
      <c r="H73" s="20"/>
      <c r="I73" s="20"/>
    </row>
    <row r="74" spans="1:9">
      <c r="A74">
        <v>2018</v>
      </c>
      <c r="B74" s="10" t="s">
        <v>47</v>
      </c>
      <c r="C74" s="23">
        <v>182873</v>
      </c>
      <c r="D74" s="20"/>
      <c r="E74" s="16"/>
      <c r="F74" s="19"/>
      <c r="G74" s="20"/>
      <c r="H74" s="20"/>
      <c r="I74" s="20"/>
    </row>
    <row r="75" spans="1:9">
      <c r="A75">
        <v>2018</v>
      </c>
      <c r="B75" s="10" t="s">
        <v>48</v>
      </c>
      <c r="C75" s="23">
        <v>206444</v>
      </c>
      <c r="D75" s="20"/>
      <c r="E75" s="16"/>
      <c r="F75" s="19"/>
      <c r="G75" s="20"/>
      <c r="H75" s="20"/>
      <c r="I75" s="20"/>
    </row>
    <row r="76" spans="1:9">
      <c r="A76">
        <v>2018</v>
      </c>
      <c r="B76" s="10" t="s">
        <v>49</v>
      </c>
      <c r="D76" s="16"/>
      <c r="E76" s="16"/>
      <c r="F76" s="19"/>
      <c r="G76" s="16"/>
      <c r="H76" s="20"/>
      <c r="I76" s="20"/>
    </row>
    <row r="77" spans="1:9">
      <c r="A77">
        <v>2018</v>
      </c>
      <c r="B77" s="10" t="s">
        <v>302</v>
      </c>
      <c r="C77" s="23">
        <v>835169</v>
      </c>
      <c r="D77" s="20"/>
      <c r="E77" s="16"/>
      <c r="F77" s="19"/>
      <c r="G77" s="20"/>
      <c r="H77" s="20"/>
      <c r="I77" s="20"/>
    </row>
    <row r="78" spans="1:9">
      <c r="A78">
        <v>2018</v>
      </c>
      <c r="B78" s="10" t="s">
        <v>50</v>
      </c>
      <c r="D78" s="16"/>
      <c r="E78" s="16"/>
      <c r="F78" s="19"/>
      <c r="G78" s="16"/>
      <c r="H78" s="20"/>
      <c r="I78" s="20"/>
    </row>
    <row r="79" spans="1:9">
      <c r="A79">
        <v>2018</v>
      </c>
      <c r="B79" s="10" t="s">
        <v>51</v>
      </c>
      <c r="C79" s="23">
        <v>663575</v>
      </c>
      <c r="D79" s="20"/>
      <c r="E79" s="16"/>
      <c r="F79" s="19"/>
      <c r="G79" s="20"/>
      <c r="H79" s="20"/>
      <c r="I79" s="20"/>
    </row>
    <row r="80" spans="1:9">
      <c r="A80">
        <v>2018</v>
      </c>
      <c r="B80" s="10" t="s">
        <v>240</v>
      </c>
      <c r="C80" s="23">
        <v>186622</v>
      </c>
      <c r="D80" s="20"/>
      <c r="E80" s="16"/>
      <c r="F80" s="19"/>
      <c r="G80" s="20"/>
      <c r="H80" s="20"/>
      <c r="I80" s="20"/>
    </row>
    <row r="81" spans="1:9">
      <c r="A81">
        <v>2018</v>
      </c>
      <c r="B81" s="10" t="s">
        <v>52</v>
      </c>
      <c r="D81" s="16"/>
      <c r="E81" s="16"/>
      <c r="F81" s="19"/>
      <c r="G81" s="16"/>
      <c r="H81" s="20"/>
      <c r="I81" s="20"/>
    </row>
    <row r="82" spans="1:9">
      <c r="A82">
        <v>2018</v>
      </c>
      <c r="B82" s="10" t="s">
        <v>53</v>
      </c>
      <c r="D82" s="16"/>
      <c r="E82" s="16"/>
      <c r="F82" s="19"/>
      <c r="G82" s="16"/>
      <c r="H82" s="20"/>
      <c r="I82" s="20"/>
    </row>
    <row r="83" spans="1:9">
      <c r="A83">
        <v>2018</v>
      </c>
      <c r="B83" s="10" t="s">
        <v>54</v>
      </c>
      <c r="C83" s="23">
        <v>14995</v>
      </c>
      <c r="D83" s="20"/>
      <c r="E83" s="16"/>
      <c r="F83" s="19"/>
      <c r="G83" s="20"/>
      <c r="H83" s="20"/>
      <c r="I83" s="20"/>
    </row>
    <row r="84" spans="1:9">
      <c r="A84">
        <v>2018</v>
      </c>
      <c r="B84" s="10" t="s">
        <v>309</v>
      </c>
      <c r="C84" s="23">
        <v>5675355</v>
      </c>
      <c r="D84" s="20"/>
      <c r="E84" s="16"/>
      <c r="F84" s="19"/>
      <c r="G84" s="20"/>
      <c r="H84" s="20"/>
      <c r="I84" s="20"/>
    </row>
    <row r="85" spans="1:9">
      <c r="A85">
        <v>2018</v>
      </c>
      <c r="B85" s="10" t="s">
        <v>55</v>
      </c>
      <c r="C85" s="23">
        <v>307883</v>
      </c>
      <c r="D85" s="20"/>
      <c r="E85" s="16"/>
      <c r="F85" s="19"/>
      <c r="G85" s="20"/>
      <c r="H85" s="20"/>
      <c r="I85" s="20"/>
    </row>
    <row r="86" spans="1:9">
      <c r="A86">
        <v>2018</v>
      </c>
      <c r="B86" s="10" t="s">
        <v>228</v>
      </c>
      <c r="C86" s="23">
        <v>419918</v>
      </c>
      <c r="D86" s="20"/>
      <c r="E86" s="16"/>
      <c r="F86" s="19"/>
      <c r="G86" s="20"/>
      <c r="H86" s="20"/>
      <c r="I86" s="20"/>
    </row>
    <row r="87" spans="1:9">
      <c r="A87">
        <v>2018</v>
      </c>
      <c r="B87" s="10" t="s">
        <v>56</v>
      </c>
      <c r="C87" s="23">
        <v>769070</v>
      </c>
      <c r="D87" s="20"/>
      <c r="E87" s="16"/>
      <c r="F87" s="19"/>
      <c r="G87" s="20"/>
      <c r="H87" s="20"/>
      <c r="I87" s="20"/>
    </row>
    <row r="88" spans="1:9">
      <c r="A88">
        <v>2018</v>
      </c>
      <c r="B88" s="10" t="s">
        <v>57</v>
      </c>
      <c r="D88" s="16"/>
      <c r="E88" s="16"/>
      <c r="F88" s="19"/>
      <c r="G88" s="16"/>
      <c r="H88" s="20"/>
      <c r="I88" s="20"/>
    </row>
    <row r="89" spans="1:9">
      <c r="A89">
        <v>2018</v>
      </c>
      <c r="B89" s="10" t="s">
        <v>58</v>
      </c>
      <c r="D89" s="16"/>
      <c r="E89" s="16"/>
      <c r="F89" s="19"/>
      <c r="G89" s="16"/>
      <c r="H89" s="20"/>
      <c r="I89" s="20"/>
    </row>
    <row r="90" spans="1:9">
      <c r="A90">
        <v>2018</v>
      </c>
      <c r="B90" s="10" t="s">
        <v>59</v>
      </c>
      <c r="D90" s="16"/>
      <c r="E90" s="16"/>
      <c r="F90" s="19"/>
      <c r="G90" s="16"/>
      <c r="H90" s="20"/>
      <c r="I90" s="20"/>
    </row>
    <row r="91" spans="1:9">
      <c r="A91">
        <v>2018</v>
      </c>
      <c r="B91" s="10" t="s">
        <v>60</v>
      </c>
      <c r="C91" s="23">
        <v>141116</v>
      </c>
      <c r="D91" s="20"/>
      <c r="E91" s="16"/>
      <c r="F91" s="19"/>
      <c r="G91" s="20"/>
      <c r="H91" s="20"/>
      <c r="I91" s="20"/>
    </row>
    <row r="92" spans="1:9">
      <c r="A92">
        <v>2018</v>
      </c>
      <c r="B92" s="10" t="s">
        <v>282</v>
      </c>
      <c r="D92" s="16"/>
      <c r="E92" s="16"/>
      <c r="F92" s="19"/>
      <c r="G92" s="16"/>
      <c r="H92" s="20"/>
      <c r="I92" s="20"/>
    </row>
    <row r="93" spans="1:9">
      <c r="A93">
        <v>2018</v>
      </c>
      <c r="B93" s="10" t="s">
        <v>237</v>
      </c>
      <c r="C93" s="23">
        <v>409237</v>
      </c>
      <c r="D93" s="20"/>
      <c r="E93" s="16"/>
      <c r="F93" s="19"/>
      <c r="G93" s="20"/>
      <c r="H93" s="20"/>
      <c r="I93" s="20"/>
    </row>
    <row r="94" spans="1:9">
      <c r="A94">
        <v>2018</v>
      </c>
      <c r="B94" s="10" t="s">
        <v>235</v>
      </c>
      <c r="C94" s="23">
        <v>645427</v>
      </c>
      <c r="D94" s="20"/>
      <c r="E94" s="16"/>
      <c r="F94" s="19"/>
      <c r="G94" s="20"/>
      <c r="H94" s="20"/>
      <c r="I94" s="20"/>
    </row>
    <row r="95" spans="1:9">
      <c r="A95">
        <v>2018</v>
      </c>
      <c r="B95" s="10" t="s">
        <v>61</v>
      </c>
      <c r="C95" s="23">
        <v>90645</v>
      </c>
      <c r="D95" s="20"/>
      <c r="E95" s="16"/>
      <c r="F95" s="19"/>
      <c r="G95" s="20"/>
      <c r="H95" s="20"/>
      <c r="I95" s="20"/>
    </row>
    <row r="96" spans="1:9">
      <c r="A96">
        <v>2018</v>
      </c>
      <c r="B96" s="10" t="s">
        <v>253</v>
      </c>
      <c r="C96" s="23">
        <v>319016</v>
      </c>
      <c r="D96" s="20"/>
      <c r="E96" s="16"/>
      <c r="F96" s="19"/>
      <c r="G96" s="20"/>
      <c r="H96" s="20"/>
      <c r="I96" s="20"/>
    </row>
    <row r="97" spans="1:9">
      <c r="A97">
        <v>2018</v>
      </c>
      <c r="B97" s="10" t="s">
        <v>62</v>
      </c>
      <c r="C97" s="23">
        <v>595850</v>
      </c>
      <c r="D97" s="20"/>
      <c r="E97" s="16"/>
      <c r="F97" s="19"/>
      <c r="G97" s="20"/>
      <c r="H97" s="20"/>
      <c r="I97" s="20"/>
    </row>
    <row r="98" spans="1:9">
      <c r="A98">
        <v>2018</v>
      </c>
      <c r="B98" s="10" t="s">
        <v>63</v>
      </c>
      <c r="C98" s="23">
        <v>98228</v>
      </c>
      <c r="D98" s="20"/>
      <c r="E98" s="16"/>
      <c r="F98" s="19"/>
      <c r="G98" s="20"/>
      <c r="H98" s="20"/>
      <c r="I98" s="20"/>
    </row>
    <row r="99" spans="1:9">
      <c r="A99">
        <v>2018</v>
      </c>
      <c r="B99" s="10" t="s">
        <v>64</v>
      </c>
      <c r="C99" s="23">
        <v>88742</v>
      </c>
      <c r="D99" s="20"/>
      <c r="E99" s="16"/>
      <c r="F99" s="19"/>
      <c r="G99" s="20"/>
      <c r="H99" s="20"/>
      <c r="I99" s="20"/>
    </row>
    <row r="100" spans="1:9">
      <c r="A100">
        <v>2018</v>
      </c>
      <c r="B100" s="10" t="s">
        <v>65</v>
      </c>
      <c r="C100" s="23">
        <v>185215</v>
      </c>
      <c r="D100" s="20"/>
      <c r="E100" s="16"/>
      <c r="F100" s="19"/>
      <c r="G100" s="20"/>
      <c r="H100" s="20"/>
      <c r="I100" s="20"/>
    </row>
    <row r="101" spans="1:9">
      <c r="A101">
        <v>2018</v>
      </c>
      <c r="B101" s="10" t="s">
        <v>208</v>
      </c>
      <c r="C101" s="23">
        <v>187816</v>
      </c>
      <c r="D101" s="20"/>
      <c r="E101" s="16"/>
      <c r="F101" s="19"/>
      <c r="G101" s="20"/>
      <c r="H101" s="20"/>
      <c r="I101" s="20"/>
    </row>
    <row r="102" spans="1:9">
      <c r="A102">
        <v>2018</v>
      </c>
      <c r="B102" s="10" t="s">
        <v>265</v>
      </c>
      <c r="C102" s="23">
        <v>329344</v>
      </c>
      <c r="D102" s="20"/>
      <c r="E102" s="16"/>
      <c r="F102" s="19"/>
      <c r="G102" s="20"/>
      <c r="H102" s="20"/>
      <c r="I102" s="20"/>
    </row>
    <row r="103" spans="1:9">
      <c r="A103">
        <v>2018</v>
      </c>
      <c r="B103" s="10" t="s">
        <v>67</v>
      </c>
      <c r="D103" s="16"/>
      <c r="E103" s="16"/>
      <c r="F103" s="19"/>
      <c r="G103" s="16"/>
      <c r="H103" s="20"/>
      <c r="I103" s="20"/>
    </row>
    <row r="104" spans="1:9">
      <c r="A104">
        <v>2018</v>
      </c>
      <c r="B104" s="10" t="s">
        <v>68</v>
      </c>
      <c r="C104" s="23">
        <v>150542</v>
      </c>
      <c r="D104" s="20"/>
      <c r="E104" s="16"/>
      <c r="F104" s="19"/>
      <c r="G104" s="20"/>
      <c r="H104" s="20"/>
      <c r="I104" s="20"/>
    </row>
    <row r="105" spans="1:9">
      <c r="A105">
        <v>2018</v>
      </c>
      <c r="B105" s="10" t="s">
        <v>69</v>
      </c>
      <c r="C105" s="23">
        <v>50463</v>
      </c>
      <c r="D105" s="20"/>
      <c r="E105" s="16"/>
      <c r="F105" s="19"/>
      <c r="G105" s="20"/>
      <c r="H105" s="20"/>
      <c r="I105" s="20"/>
    </row>
    <row r="106" spans="1:9">
      <c r="A106">
        <v>2018</v>
      </c>
      <c r="B106" s="10" t="s">
        <v>289</v>
      </c>
      <c r="C106" s="23">
        <v>232837</v>
      </c>
      <c r="D106" s="20"/>
      <c r="E106" s="16"/>
      <c r="F106" s="19"/>
      <c r="G106" s="20"/>
      <c r="H106" s="20"/>
      <c r="I106" s="20"/>
    </row>
    <row r="107" spans="1:9">
      <c r="A107">
        <v>2018</v>
      </c>
      <c r="B107" s="10" t="s">
        <v>70</v>
      </c>
      <c r="C107" s="23">
        <v>197631</v>
      </c>
      <c r="D107" s="20"/>
      <c r="E107" s="16"/>
      <c r="F107" s="19"/>
      <c r="G107" s="20"/>
      <c r="H107" s="20"/>
      <c r="I107" s="20"/>
    </row>
    <row r="108" spans="1:9">
      <c r="A108">
        <v>2018</v>
      </c>
      <c r="B108" s="10" t="s">
        <v>71</v>
      </c>
      <c r="C108" s="23">
        <v>2472184</v>
      </c>
      <c r="D108" s="20"/>
      <c r="E108" s="16"/>
      <c r="F108" s="19"/>
      <c r="G108" s="20"/>
      <c r="H108" s="20"/>
      <c r="I108" s="20"/>
    </row>
    <row r="109" spans="1:9">
      <c r="A109">
        <v>2018</v>
      </c>
      <c r="B109" s="10" t="s">
        <v>72</v>
      </c>
      <c r="C109" s="23">
        <v>292080</v>
      </c>
      <c r="D109" s="20"/>
      <c r="E109" s="16"/>
      <c r="F109" s="19"/>
      <c r="G109" s="20"/>
      <c r="H109" s="20"/>
      <c r="I109" s="20"/>
    </row>
    <row r="110" spans="1:9">
      <c r="A110">
        <v>2018</v>
      </c>
      <c r="B110" s="10" t="s">
        <v>310</v>
      </c>
      <c r="C110" s="23">
        <v>2478046</v>
      </c>
      <c r="D110" s="20"/>
      <c r="E110" s="16"/>
      <c r="F110" s="19"/>
      <c r="G110" s="20"/>
      <c r="H110" s="20"/>
      <c r="I110" s="20"/>
    </row>
    <row r="111" spans="1:9">
      <c r="A111">
        <v>2018</v>
      </c>
      <c r="B111" s="10" t="s">
        <v>239</v>
      </c>
      <c r="D111" s="16"/>
      <c r="E111" s="16"/>
      <c r="F111" s="19"/>
      <c r="G111" s="16"/>
      <c r="H111" s="20"/>
      <c r="I111" s="20"/>
    </row>
    <row r="112" spans="1:9">
      <c r="A112">
        <v>2018</v>
      </c>
      <c r="B112" s="10" t="s">
        <v>262</v>
      </c>
      <c r="C112" s="23">
        <v>292304</v>
      </c>
      <c r="D112" s="20"/>
      <c r="E112" s="16"/>
      <c r="F112" s="19"/>
      <c r="G112" s="20"/>
      <c r="H112" s="20"/>
      <c r="I112" s="20"/>
    </row>
    <row r="113" spans="1:9">
      <c r="A113">
        <v>2018</v>
      </c>
      <c r="B113" s="10" t="s">
        <v>73</v>
      </c>
      <c r="C113" s="23">
        <v>273430</v>
      </c>
      <c r="D113" s="20"/>
      <c r="E113" s="16"/>
      <c r="F113" s="19"/>
      <c r="G113" s="20"/>
      <c r="H113" s="20"/>
      <c r="I113" s="20"/>
    </row>
    <row r="114" spans="1:9">
      <c r="A114">
        <v>2018</v>
      </c>
      <c r="B114" s="10" t="s">
        <v>74</v>
      </c>
      <c r="D114" s="16"/>
      <c r="E114" s="16"/>
      <c r="F114" s="19"/>
      <c r="G114" s="16"/>
      <c r="H114" s="20"/>
      <c r="I114" s="20"/>
    </row>
    <row r="115" spans="1:9">
      <c r="A115">
        <v>2018</v>
      </c>
      <c r="B115" s="10" t="s">
        <v>75</v>
      </c>
      <c r="C115" s="23">
        <v>46210</v>
      </c>
      <c r="D115" s="20"/>
      <c r="E115" s="16"/>
      <c r="F115" s="19"/>
      <c r="G115" s="20"/>
      <c r="H115" s="20"/>
      <c r="I115" s="20"/>
    </row>
    <row r="116" spans="1:9">
      <c r="A116">
        <v>2018</v>
      </c>
      <c r="B116" s="10" t="s">
        <v>76</v>
      </c>
      <c r="C116" s="23">
        <v>109212</v>
      </c>
      <c r="D116" s="20"/>
      <c r="E116" s="16"/>
      <c r="F116" s="19"/>
      <c r="G116" s="20"/>
      <c r="H116" s="20"/>
      <c r="I116" s="20"/>
    </row>
    <row r="117" spans="1:9">
      <c r="A117">
        <v>2018</v>
      </c>
      <c r="B117" s="10" t="s">
        <v>77</v>
      </c>
      <c r="D117" s="16"/>
      <c r="E117" s="16"/>
      <c r="F117" s="19"/>
      <c r="G117" s="16"/>
      <c r="H117" s="20"/>
      <c r="I117" s="20"/>
    </row>
    <row r="118" spans="1:9">
      <c r="A118">
        <v>2018</v>
      </c>
      <c r="B118" s="10" t="s">
        <v>78</v>
      </c>
      <c r="C118" s="23">
        <v>99068</v>
      </c>
      <c r="D118" s="20"/>
      <c r="E118" s="16"/>
      <c r="F118" s="19"/>
      <c r="G118" s="20"/>
      <c r="H118" s="20"/>
      <c r="I118" s="20"/>
    </row>
    <row r="119" spans="1:9">
      <c r="A119">
        <v>2018</v>
      </c>
      <c r="B119" s="10" t="s">
        <v>79</v>
      </c>
      <c r="C119" s="23">
        <v>36381</v>
      </c>
      <c r="D119" s="20"/>
      <c r="E119" s="16"/>
      <c r="F119" s="19"/>
      <c r="G119" s="20"/>
      <c r="H119" s="20"/>
      <c r="I119" s="20"/>
    </row>
    <row r="120" spans="1:9">
      <c r="A120">
        <v>2018</v>
      </c>
      <c r="B120" s="10" t="s">
        <v>80</v>
      </c>
      <c r="C120" s="23">
        <v>63767</v>
      </c>
      <c r="D120" s="20"/>
      <c r="E120" s="16"/>
      <c r="F120" s="19"/>
      <c r="G120" s="20"/>
      <c r="H120" s="20"/>
      <c r="I120" s="20"/>
    </row>
    <row r="121" spans="1:9">
      <c r="A121">
        <v>2018</v>
      </c>
      <c r="B121" s="10" t="s">
        <v>81</v>
      </c>
      <c r="C121" s="23">
        <v>78417</v>
      </c>
      <c r="D121" s="20"/>
      <c r="E121" s="16"/>
      <c r="F121" s="19"/>
      <c r="G121" s="20"/>
      <c r="H121" s="20"/>
      <c r="I121" s="20"/>
    </row>
    <row r="122" spans="1:9">
      <c r="A122">
        <v>2018</v>
      </c>
      <c r="B122" s="10" t="s">
        <v>82</v>
      </c>
      <c r="D122" s="16"/>
      <c r="E122" s="16"/>
      <c r="F122" s="19"/>
      <c r="G122" s="16"/>
      <c r="H122" s="20"/>
      <c r="I122" s="20"/>
    </row>
    <row r="123" spans="1:9">
      <c r="A123">
        <v>2018</v>
      </c>
      <c r="B123" s="10" t="s">
        <v>83</v>
      </c>
      <c r="D123" s="16"/>
      <c r="E123" s="16"/>
      <c r="F123" s="19"/>
      <c r="G123" s="16"/>
      <c r="H123" s="20"/>
      <c r="I123" s="20"/>
    </row>
    <row r="124" spans="1:9">
      <c r="A124">
        <v>2018</v>
      </c>
      <c r="B124" s="10" t="s">
        <v>246</v>
      </c>
      <c r="C124" s="23">
        <v>347665</v>
      </c>
      <c r="D124" s="20"/>
      <c r="E124" s="16"/>
      <c r="F124" s="19"/>
      <c r="G124" s="20"/>
      <c r="H124" s="20"/>
      <c r="I124" s="20"/>
    </row>
    <row r="125" spans="1:9">
      <c r="A125">
        <v>2018</v>
      </c>
      <c r="B125" s="10" t="s">
        <v>66</v>
      </c>
      <c r="C125" s="23">
        <v>74326</v>
      </c>
      <c r="D125" s="20"/>
      <c r="E125" s="16"/>
      <c r="F125" s="19"/>
      <c r="G125" s="20"/>
      <c r="H125" s="20"/>
      <c r="I125" s="20"/>
    </row>
    <row r="126" spans="1:9">
      <c r="A126">
        <v>2018</v>
      </c>
      <c r="B126" s="10" t="s">
        <v>311</v>
      </c>
      <c r="C126" s="23">
        <v>1507430</v>
      </c>
      <c r="D126" s="20"/>
      <c r="E126" s="16"/>
      <c r="F126" s="19"/>
      <c r="G126" s="20"/>
      <c r="H126" s="20"/>
      <c r="I126" s="20"/>
    </row>
    <row r="127" spans="1:9">
      <c r="A127">
        <v>2018</v>
      </c>
      <c r="B127" s="10" t="s">
        <v>255</v>
      </c>
      <c r="C127" s="23">
        <v>343227</v>
      </c>
      <c r="D127" s="20"/>
      <c r="E127" s="16"/>
      <c r="F127" s="19"/>
      <c r="G127" s="20"/>
      <c r="H127" s="20"/>
      <c r="I127" s="20"/>
    </row>
    <row r="128" spans="1:9">
      <c r="A128">
        <v>2018</v>
      </c>
      <c r="B128" s="10" t="s">
        <v>243</v>
      </c>
      <c r="C128" s="23">
        <v>339590</v>
      </c>
      <c r="D128" s="20"/>
      <c r="E128" s="16"/>
      <c r="F128" s="19"/>
      <c r="G128" s="20"/>
      <c r="H128" s="20"/>
      <c r="I128" s="20"/>
    </row>
    <row r="129" spans="1:9">
      <c r="A129">
        <v>2018</v>
      </c>
      <c r="B129" s="10" t="s">
        <v>248</v>
      </c>
      <c r="D129" s="16"/>
      <c r="E129" s="16"/>
      <c r="F129" s="19"/>
      <c r="G129" s="16"/>
      <c r="H129" s="20"/>
      <c r="I129" s="20"/>
    </row>
    <row r="130" spans="1:9">
      <c r="A130">
        <v>2018</v>
      </c>
      <c r="B130" s="10" t="s">
        <v>84</v>
      </c>
      <c r="D130" s="16"/>
      <c r="E130" s="16"/>
      <c r="F130" s="19"/>
      <c r="G130" s="16"/>
      <c r="H130" s="20"/>
      <c r="I130" s="20"/>
    </row>
    <row r="131" spans="1:9">
      <c r="A131">
        <v>2018</v>
      </c>
      <c r="B131" s="10" t="s">
        <v>261</v>
      </c>
      <c r="C131" s="23">
        <v>361756</v>
      </c>
      <c r="D131" s="20"/>
      <c r="E131" s="16"/>
      <c r="F131" s="19"/>
      <c r="G131" s="20"/>
      <c r="H131" s="20"/>
      <c r="I131" s="20"/>
    </row>
    <row r="132" spans="1:9">
      <c r="A132">
        <v>2018</v>
      </c>
      <c r="B132" s="10" t="s">
        <v>85</v>
      </c>
      <c r="C132" s="23">
        <v>122397</v>
      </c>
      <c r="D132" s="20"/>
      <c r="E132" s="16"/>
      <c r="F132" s="19"/>
      <c r="G132" s="20"/>
      <c r="H132" s="20"/>
      <c r="I132" s="20"/>
    </row>
    <row r="133" spans="1:9">
      <c r="A133">
        <v>2018</v>
      </c>
      <c r="B133" s="10" t="s">
        <v>86</v>
      </c>
      <c r="C133" s="23">
        <v>105068</v>
      </c>
      <c r="D133" s="20"/>
      <c r="E133" s="16"/>
      <c r="F133" s="19"/>
      <c r="G133" s="20"/>
      <c r="H133" s="20"/>
      <c r="I133" s="20"/>
    </row>
    <row r="134" spans="1:9">
      <c r="A134">
        <v>2018</v>
      </c>
      <c r="B134" s="10" t="s">
        <v>87</v>
      </c>
      <c r="C134" s="23">
        <v>119459</v>
      </c>
      <c r="D134" s="20"/>
      <c r="E134" s="16"/>
      <c r="F134" s="19"/>
      <c r="G134" s="20"/>
      <c r="H134" s="20"/>
      <c r="I134" s="20"/>
    </row>
    <row r="135" spans="1:9">
      <c r="A135">
        <v>2018</v>
      </c>
      <c r="B135" s="10" t="s">
        <v>88</v>
      </c>
      <c r="C135" s="23">
        <v>95511</v>
      </c>
      <c r="D135" s="20"/>
      <c r="E135" s="16"/>
      <c r="F135" s="19"/>
      <c r="G135" s="20"/>
      <c r="H135" s="20"/>
      <c r="I135" s="20"/>
    </row>
    <row r="136" spans="1:9">
      <c r="A136">
        <v>2018</v>
      </c>
      <c r="B136" s="10" t="s">
        <v>198</v>
      </c>
      <c r="C136" s="23">
        <v>401760</v>
      </c>
      <c r="D136" s="20"/>
      <c r="E136" s="16"/>
      <c r="F136" s="19"/>
      <c r="G136" s="20"/>
      <c r="H136" s="20"/>
      <c r="I136" s="20"/>
    </row>
    <row r="137" spans="1:9">
      <c r="A137">
        <v>2018</v>
      </c>
      <c r="B137" s="10" t="s">
        <v>89</v>
      </c>
      <c r="C137" s="23">
        <v>422610</v>
      </c>
      <c r="D137" s="20"/>
      <c r="E137" s="16"/>
      <c r="F137" s="19"/>
      <c r="G137" s="20"/>
      <c r="H137" s="20"/>
      <c r="I137" s="20"/>
    </row>
    <row r="138" spans="1:9">
      <c r="A138">
        <v>2018</v>
      </c>
      <c r="B138" s="10" t="s">
        <v>90</v>
      </c>
      <c r="C138" s="23">
        <v>428040</v>
      </c>
      <c r="D138" s="20"/>
      <c r="E138" s="16"/>
      <c r="F138" s="19"/>
      <c r="G138" s="20"/>
      <c r="H138" s="20"/>
      <c r="I138" s="20"/>
    </row>
    <row r="139" spans="1:9">
      <c r="A139">
        <v>2018</v>
      </c>
      <c r="B139" s="10" t="s">
        <v>312</v>
      </c>
      <c r="C139" s="23">
        <v>3615402</v>
      </c>
      <c r="D139" s="20"/>
      <c r="E139" s="16"/>
      <c r="F139" s="19"/>
      <c r="G139" s="20"/>
      <c r="H139" s="20"/>
      <c r="I139" s="20"/>
    </row>
    <row r="140" spans="1:9">
      <c r="A140">
        <v>2018</v>
      </c>
      <c r="B140" s="10" t="s">
        <v>91</v>
      </c>
      <c r="C140" s="23">
        <v>106897</v>
      </c>
      <c r="D140" s="20"/>
      <c r="E140" s="16"/>
      <c r="F140" s="19"/>
      <c r="G140" s="20"/>
      <c r="H140" s="20"/>
      <c r="I140" s="20"/>
    </row>
    <row r="141" spans="1:9">
      <c r="A141">
        <v>2018</v>
      </c>
      <c r="B141" s="10" t="s">
        <v>92</v>
      </c>
      <c r="D141" s="16"/>
      <c r="E141" s="16"/>
      <c r="F141" s="19"/>
      <c r="G141" s="16"/>
      <c r="H141" s="20"/>
      <c r="I141" s="20"/>
    </row>
    <row r="142" spans="1:9">
      <c r="A142">
        <v>2018</v>
      </c>
      <c r="B142" s="10" t="s">
        <v>215</v>
      </c>
      <c r="D142" s="16"/>
      <c r="E142" s="16"/>
      <c r="F142" s="19"/>
      <c r="G142" s="16"/>
      <c r="H142" s="20"/>
      <c r="I142" s="20"/>
    </row>
    <row r="143" spans="1:9">
      <c r="A143">
        <v>2018</v>
      </c>
      <c r="B143" s="10" t="s">
        <v>93</v>
      </c>
      <c r="C143" s="23">
        <v>166614</v>
      </c>
      <c r="D143" s="20"/>
      <c r="E143" s="16"/>
      <c r="F143" s="19"/>
      <c r="G143" s="20"/>
      <c r="H143" s="20"/>
      <c r="I143" s="20"/>
    </row>
    <row r="144" spans="1:9">
      <c r="A144">
        <v>2018</v>
      </c>
      <c r="B144" s="10" t="s">
        <v>94</v>
      </c>
      <c r="C144" s="23">
        <v>74664</v>
      </c>
      <c r="D144" s="20"/>
      <c r="E144" s="16"/>
      <c r="F144" s="19"/>
      <c r="G144" s="20"/>
      <c r="H144" s="20"/>
      <c r="I144" s="20"/>
    </row>
    <row r="145" spans="1:9">
      <c r="A145">
        <v>2018</v>
      </c>
      <c r="B145" s="10" t="s">
        <v>303</v>
      </c>
      <c r="C145" s="23">
        <v>1134343</v>
      </c>
      <c r="D145" s="20"/>
      <c r="E145" s="16"/>
      <c r="F145" s="19"/>
      <c r="G145" s="20"/>
      <c r="H145" s="20"/>
      <c r="I145" s="20"/>
    </row>
    <row r="146" spans="1:9">
      <c r="A146">
        <v>2018</v>
      </c>
      <c r="B146" s="10" t="s">
        <v>95</v>
      </c>
      <c r="C146" s="23">
        <v>1865125</v>
      </c>
      <c r="D146" s="20"/>
      <c r="E146" s="16"/>
      <c r="F146" s="19"/>
      <c r="G146" s="20"/>
      <c r="H146" s="20"/>
      <c r="I146" s="20"/>
    </row>
    <row r="147" spans="1:9">
      <c r="A147">
        <v>2018</v>
      </c>
      <c r="B147" s="10" t="s">
        <v>263</v>
      </c>
      <c r="C147" s="23">
        <v>794046</v>
      </c>
      <c r="D147" s="20"/>
      <c r="E147" s="16"/>
      <c r="F147" s="19"/>
      <c r="G147" s="20"/>
      <c r="H147" s="20"/>
      <c r="I147" s="20"/>
    </row>
    <row r="148" spans="1:9">
      <c r="A148">
        <v>2018</v>
      </c>
      <c r="B148" s="10" t="s">
        <v>96</v>
      </c>
      <c r="C148" s="23">
        <v>153059</v>
      </c>
      <c r="D148" s="20"/>
      <c r="E148" s="16"/>
      <c r="F148" s="19"/>
      <c r="G148" s="20"/>
      <c r="H148" s="20"/>
      <c r="I148" s="20"/>
    </row>
    <row r="149" spans="1:9">
      <c r="A149">
        <v>2018</v>
      </c>
      <c r="B149" s="10" t="s">
        <v>97</v>
      </c>
      <c r="C149" s="23">
        <v>101446</v>
      </c>
      <c r="D149" s="20"/>
      <c r="E149" s="16"/>
      <c r="F149" s="19"/>
      <c r="G149" s="20"/>
      <c r="H149" s="20"/>
      <c r="I149" s="20"/>
    </row>
    <row r="150" spans="1:9">
      <c r="A150">
        <v>2018</v>
      </c>
      <c r="B150" s="10" t="s">
        <v>98</v>
      </c>
      <c r="C150" s="23">
        <v>1322406</v>
      </c>
      <c r="D150" s="20"/>
      <c r="E150" s="16"/>
      <c r="F150" s="19"/>
      <c r="G150" s="20"/>
      <c r="H150" s="20"/>
      <c r="I150" s="20"/>
    </row>
    <row r="151" spans="1:9">
      <c r="A151">
        <v>2018</v>
      </c>
      <c r="B151" s="10" t="s">
        <v>99</v>
      </c>
      <c r="D151" s="16"/>
      <c r="E151" s="16"/>
      <c r="F151" s="19"/>
      <c r="G151" s="16"/>
      <c r="H151" s="20"/>
      <c r="I151" s="20"/>
    </row>
    <row r="152" spans="1:9">
      <c r="A152">
        <v>2018</v>
      </c>
      <c r="B152" s="10" t="s">
        <v>100</v>
      </c>
      <c r="D152" s="16"/>
      <c r="E152" s="16"/>
      <c r="F152" s="19"/>
      <c r="G152" s="16"/>
      <c r="H152" s="20"/>
      <c r="I152" s="20"/>
    </row>
    <row r="153" spans="1:9">
      <c r="A153">
        <v>2018</v>
      </c>
      <c r="B153" s="10" t="s">
        <v>291</v>
      </c>
      <c r="C153" s="23">
        <v>305681</v>
      </c>
      <c r="D153" s="20"/>
      <c r="E153" s="16"/>
      <c r="F153" s="19"/>
      <c r="G153" s="20"/>
      <c r="H153" s="20"/>
      <c r="I153" s="20"/>
    </row>
    <row r="154" spans="1:9">
      <c r="A154">
        <v>2018</v>
      </c>
      <c r="B154" s="10" t="s">
        <v>258</v>
      </c>
      <c r="C154" s="23">
        <v>747215</v>
      </c>
      <c r="D154" s="20"/>
      <c r="E154" s="16"/>
      <c r="F154" s="19"/>
      <c r="G154" s="20"/>
      <c r="H154" s="20"/>
      <c r="I154" s="20"/>
    </row>
    <row r="155" spans="1:9">
      <c r="A155">
        <v>2018</v>
      </c>
      <c r="B155" s="10" t="s">
        <v>227</v>
      </c>
      <c r="C155" s="23">
        <v>1268289</v>
      </c>
      <c r="D155" s="20"/>
      <c r="E155" s="16"/>
      <c r="F155" s="19"/>
      <c r="G155" s="20"/>
      <c r="H155" s="20"/>
      <c r="I155" s="20"/>
    </row>
    <row r="156" spans="1:9">
      <c r="A156">
        <v>2018</v>
      </c>
      <c r="B156" s="10" t="s">
        <v>101</v>
      </c>
      <c r="C156" s="23">
        <v>103865</v>
      </c>
      <c r="D156" s="20"/>
      <c r="E156" s="16"/>
      <c r="F156" s="19"/>
      <c r="G156" s="20"/>
      <c r="H156" s="20"/>
      <c r="I156" s="20"/>
    </row>
    <row r="157" spans="1:9">
      <c r="A157">
        <v>2018</v>
      </c>
      <c r="B157" s="10" t="s">
        <v>247</v>
      </c>
      <c r="D157" s="16"/>
      <c r="E157" s="16"/>
      <c r="F157" s="19"/>
      <c r="G157" s="16"/>
      <c r="H157" s="20"/>
      <c r="I157" s="20"/>
    </row>
    <row r="158" spans="1:9">
      <c r="A158">
        <v>2018</v>
      </c>
      <c r="B158" s="10" t="s">
        <v>299</v>
      </c>
      <c r="C158" s="23">
        <v>2271757</v>
      </c>
      <c r="D158" s="20"/>
      <c r="E158" s="16"/>
      <c r="F158" s="19"/>
      <c r="G158" s="20"/>
      <c r="H158" s="20"/>
      <c r="I158" s="20"/>
    </row>
    <row r="159" spans="1:9">
      <c r="A159">
        <v>2018</v>
      </c>
      <c r="B159" s="10" t="s">
        <v>102</v>
      </c>
      <c r="C159" s="23">
        <v>92157</v>
      </c>
      <c r="D159" s="20"/>
      <c r="E159" s="16"/>
      <c r="F159" s="19"/>
      <c r="G159" s="20"/>
      <c r="H159" s="20"/>
      <c r="I159" s="20"/>
    </row>
    <row r="160" spans="1:9">
      <c r="A160">
        <v>2018</v>
      </c>
      <c r="B160" s="10" t="s">
        <v>103</v>
      </c>
      <c r="C160" s="23">
        <v>63165</v>
      </c>
      <c r="D160" s="20"/>
      <c r="E160" s="16"/>
      <c r="F160" s="19"/>
      <c r="G160" s="20"/>
      <c r="H160" s="20"/>
      <c r="I160" s="20"/>
    </row>
    <row r="161" spans="1:9">
      <c r="A161">
        <v>2018</v>
      </c>
      <c r="B161" s="10" t="s">
        <v>105</v>
      </c>
      <c r="C161" s="23">
        <v>104475</v>
      </c>
      <c r="D161" s="20"/>
      <c r="E161" s="16"/>
      <c r="F161" s="19"/>
      <c r="G161" s="20"/>
      <c r="H161" s="20"/>
      <c r="I161" s="20"/>
    </row>
    <row r="162" spans="1:9">
      <c r="A162">
        <v>2018</v>
      </c>
      <c r="B162" s="10" t="s">
        <v>104</v>
      </c>
      <c r="C162" s="23">
        <v>139566</v>
      </c>
      <c r="D162" s="20"/>
      <c r="E162" s="16"/>
      <c r="F162" s="19"/>
      <c r="G162" s="20"/>
      <c r="H162" s="20"/>
      <c r="I162" s="20"/>
    </row>
    <row r="163" spans="1:9">
      <c r="A163">
        <v>2018</v>
      </c>
      <c r="B163" s="10" t="s">
        <v>106</v>
      </c>
      <c r="C163" s="23">
        <v>318509</v>
      </c>
      <c r="D163" s="20"/>
      <c r="E163" s="16"/>
      <c r="F163" s="19"/>
      <c r="G163" s="20"/>
      <c r="H163" s="20"/>
      <c r="I163" s="20"/>
    </row>
    <row r="164" spans="1:9">
      <c r="A164">
        <v>2018</v>
      </c>
      <c r="B164" s="10" t="s">
        <v>107</v>
      </c>
      <c r="C164" s="23">
        <v>114884</v>
      </c>
      <c r="D164" s="20"/>
      <c r="E164" s="16"/>
      <c r="F164" s="19"/>
      <c r="G164" s="20"/>
      <c r="H164" s="20"/>
      <c r="I164" s="20"/>
    </row>
    <row r="165" spans="1:9">
      <c r="A165">
        <v>2018</v>
      </c>
      <c r="B165" s="10" t="s">
        <v>108</v>
      </c>
      <c r="D165" s="16"/>
      <c r="E165" s="16"/>
      <c r="F165" s="19"/>
      <c r="G165" s="16"/>
      <c r="H165" s="16"/>
      <c r="I165" s="16"/>
    </row>
    <row r="166" spans="1:9">
      <c r="A166">
        <v>2018</v>
      </c>
      <c r="B166" s="10" t="s">
        <v>226</v>
      </c>
      <c r="C166" s="23">
        <v>1042117</v>
      </c>
      <c r="D166" s="20"/>
      <c r="E166" s="16"/>
      <c r="F166" s="19"/>
      <c r="G166" s="20"/>
      <c r="H166" s="20"/>
      <c r="I166" s="20"/>
    </row>
    <row r="167" spans="1:9">
      <c r="A167">
        <v>2018</v>
      </c>
      <c r="B167" s="10" t="s">
        <v>109</v>
      </c>
      <c r="C167" s="23">
        <v>53437</v>
      </c>
      <c r="D167" s="20"/>
      <c r="E167" s="16"/>
      <c r="F167" s="19"/>
      <c r="G167" s="20"/>
      <c r="H167" s="20"/>
      <c r="I167" s="20"/>
    </row>
    <row r="168" spans="1:9">
      <c r="A168">
        <v>2018</v>
      </c>
      <c r="B168" s="10" t="s">
        <v>110</v>
      </c>
      <c r="C168" s="23">
        <v>576926</v>
      </c>
      <c r="D168" s="20"/>
      <c r="E168" s="16"/>
      <c r="F168" s="19"/>
      <c r="G168" s="20"/>
      <c r="H168" s="20"/>
      <c r="I168" s="20"/>
    </row>
    <row r="169" spans="1:9">
      <c r="A169">
        <v>2018</v>
      </c>
      <c r="B169" s="10" t="s">
        <v>111</v>
      </c>
      <c r="C169" s="23">
        <v>417908</v>
      </c>
      <c r="D169" s="20"/>
      <c r="E169" s="16"/>
      <c r="F169" s="19"/>
      <c r="G169" s="20"/>
      <c r="H169" s="20"/>
      <c r="I169" s="20"/>
    </row>
    <row r="170" spans="1:9">
      <c r="A170">
        <v>2018</v>
      </c>
      <c r="B170" s="10" t="s">
        <v>249</v>
      </c>
      <c r="C170" s="23">
        <v>318090</v>
      </c>
      <c r="D170" s="20"/>
      <c r="E170" s="16"/>
      <c r="F170" s="19"/>
      <c r="G170" s="20"/>
      <c r="H170" s="20"/>
      <c r="I170" s="20"/>
    </row>
    <row r="171" spans="1:9">
      <c r="A171">
        <v>2018</v>
      </c>
      <c r="B171" s="10" t="s">
        <v>281</v>
      </c>
      <c r="C171" s="23">
        <v>212539</v>
      </c>
      <c r="D171" s="20"/>
      <c r="E171" s="16"/>
      <c r="F171" s="19"/>
      <c r="G171" s="20"/>
      <c r="H171" s="20"/>
      <c r="I171" s="20"/>
    </row>
    <row r="172" spans="1:9">
      <c r="A172">
        <v>2018</v>
      </c>
      <c r="B172" s="10" t="s">
        <v>112</v>
      </c>
      <c r="C172" s="23">
        <v>105155</v>
      </c>
      <c r="D172" s="20"/>
      <c r="E172" s="16"/>
      <c r="F172" s="19"/>
      <c r="G172" s="20"/>
      <c r="H172" s="20"/>
      <c r="I172" s="20"/>
    </row>
    <row r="173" spans="1:9">
      <c r="A173">
        <v>2018</v>
      </c>
      <c r="B173" s="10" t="s">
        <v>242</v>
      </c>
      <c r="D173" s="16"/>
      <c r="E173" s="16"/>
      <c r="F173" s="19"/>
      <c r="G173" s="16"/>
      <c r="H173" s="20"/>
      <c r="I173" s="20"/>
    </row>
    <row r="174" spans="1:9">
      <c r="A174">
        <v>2018</v>
      </c>
      <c r="B174" s="10" t="s">
        <v>313</v>
      </c>
      <c r="C174" s="23">
        <v>1239655</v>
      </c>
      <c r="D174" s="20"/>
      <c r="E174" s="16"/>
      <c r="F174" s="19"/>
      <c r="G174" s="20"/>
      <c r="H174" s="20"/>
      <c r="I174" s="20"/>
    </row>
    <row r="175" spans="1:9">
      <c r="A175">
        <v>2018</v>
      </c>
      <c r="B175" s="10" t="s">
        <v>217</v>
      </c>
      <c r="C175" s="23">
        <v>325367</v>
      </c>
      <c r="D175" s="20"/>
      <c r="E175" s="16"/>
      <c r="F175" s="19"/>
      <c r="G175" s="20"/>
      <c r="H175" s="20"/>
      <c r="I175" s="20"/>
    </row>
    <row r="176" spans="1:9">
      <c r="A176">
        <v>2018</v>
      </c>
      <c r="B176" s="10" t="s">
        <v>259</v>
      </c>
      <c r="C176" s="23">
        <v>677823</v>
      </c>
      <c r="D176" s="20"/>
      <c r="E176" s="16"/>
      <c r="F176" s="19"/>
      <c r="G176" s="20"/>
      <c r="H176" s="20"/>
      <c r="I176" s="20"/>
    </row>
    <row r="177" spans="1:9">
      <c r="A177">
        <v>2018</v>
      </c>
      <c r="B177" s="10" t="s">
        <v>113</v>
      </c>
      <c r="C177" s="23">
        <v>89456</v>
      </c>
      <c r="D177" s="20"/>
      <c r="E177" s="16"/>
      <c r="F177" s="19"/>
      <c r="G177" s="20"/>
      <c r="H177" s="20"/>
      <c r="I177" s="20"/>
    </row>
    <row r="178" spans="1:9">
      <c r="A178">
        <v>2018</v>
      </c>
      <c r="B178" s="10" t="s">
        <v>254</v>
      </c>
      <c r="C178" s="23">
        <v>335858</v>
      </c>
      <c r="D178" s="20"/>
      <c r="E178" s="16"/>
      <c r="F178" s="19"/>
      <c r="G178" s="20"/>
      <c r="H178" s="20"/>
      <c r="I178" s="20"/>
    </row>
    <row r="179" spans="1:9">
      <c r="A179">
        <v>2018</v>
      </c>
      <c r="B179" s="10" t="s">
        <v>114</v>
      </c>
      <c r="C179" s="23">
        <v>103868</v>
      </c>
      <c r="D179" s="20"/>
      <c r="E179" s="16"/>
      <c r="F179" s="19"/>
      <c r="G179" s="20"/>
      <c r="H179" s="20"/>
      <c r="I179" s="20"/>
    </row>
    <row r="180" spans="1:9">
      <c r="A180">
        <v>2018</v>
      </c>
      <c r="B180" s="10" t="s">
        <v>304</v>
      </c>
      <c r="C180" s="23">
        <v>1202116</v>
      </c>
      <c r="D180" s="20"/>
      <c r="E180" s="16"/>
      <c r="F180" s="19"/>
      <c r="G180" s="20"/>
      <c r="H180" s="20"/>
      <c r="I180" s="20"/>
    </row>
    <row r="181" spans="1:9">
      <c r="A181">
        <v>2018</v>
      </c>
      <c r="B181" s="10" t="s">
        <v>225</v>
      </c>
      <c r="D181" s="16"/>
      <c r="E181" s="16"/>
      <c r="F181" s="19"/>
      <c r="G181" s="16"/>
      <c r="H181" s="20"/>
      <c r="I181" s="20"/>
    </row>
    <row r="182" spans="1:9">
      <c r="A182">
        <v>2018</v>
      </c>
      <c r="B182" s="10" t="s">
        <v>271</v>
      </c>
      <c r="C182" s="23">
        <v>479806</v>
      </c>
      <c r="D182" s="20"/>
      <c r="E182" s="16"/>
      <c r="F182" s="19"/>
      <c r="G182" s="20"/>
      <c r="H182" s="20"/>
      <c r="I182" s="20"/>
    </row>
    <row r="183" spans="1:9">
      <c r="A183">
        <v>2018</v>
      </c>
      <c r="B183" s="10" t="s">
        <v>116</v>
      </c>
      <c r="C183" s="23">
        <v>71037</v>
      </c>
      <c r="D183" s="20"/>
      <c r="E183" s="16"/>
      <c r="F183" s="19"/>
      <c r="G183" s="20"/>
      <c r="H183" s="20"/>
      <c r="I183" s="20"/>
    </row>
    <row r="184" spans="1:9">
      <c r="A184">
        <v>2018</v>
      </c>
      <c r="B184" s="10" t="s">
        <v>117</v>
      </c>
      <c r="D184" s="16"/>
      <c r="E184" s="16"/>
      <c r="F184" s="19"/>
      <c r="G184" s="16"/>
      <c r="H184" s="20"/>
      <c r="I184" s="20"/>
    </row>
    <row r="185" spans="1:9">
      <c r="A185">
        <v>2018</v>
      </c>
      <c r="B185" s="10" t="s">
        <v>118</v>
      </c>
      <c r="D185" s="16"/>
      <c r="E185" s="16"/>
      <c r="F185" s="19"/>
      <c r="G185" s="16"/>
      <c r="H185" s="20"/>
      <c r="I185" s="20"/>
    </row>
    <row r="186" spans="1:9">
      <c r="A186">
        <v>2018</v>
      </c>
      <c r="B186" s="10" t="s">
        <v>119</v>
      </c>
      <c r="C186" s="23">
        <v>420344</v>
      </c>
      <c r="D186" s="20"/>
      <c r="E186" s="16"/>
      <c r="F186" s="19"/>
      <c r="G186" s="20"/>
      <c r="H186" s="20"/>
      <c r="I186" s="20"/>
    </row>
    <row r="187" spans="1:9">
      <c r="A187">
        <v>2018</v>
      </c>
      <c r="B187" s="10" t="s">
        <v>120</v>
      </c>
      <c r="C187" s="23">
        <v>218404</v>
      </c>
      <c r="D187" s="20"/>
      <c r="E187" s="16"/>
      <c r="F187" s="19"/>
      <c r="G187" s="20"/>
      <c r="H187" s="20"/>
      <c r="I187" s="20"/>
    </row>
    <row r="188" spans="1:9">
      <c r="A188">
        <v>2018</v>
      </c>
      <c r="B188" s="10" t="s">
        <v>121</v>
      </c>
      <c r="C188" s="23">
        <v>307790</v>
      </c>
      <c r="D188" s="20"/>
      <c r="E188" s="16"/>
      <c r="F188" s="19"/>
      <c r="G188" s="20"/>
      <c r="H188" s="20"/>
      <c r="I188" s="20"/>
    </row>
    <row r="189" spans="1:9">
      <c r="A189">
        <v>2018</v>
      </c>
      <c r="B189" s="10" t="s">
        <v>298</v>
      </c>
      <c r="C189" s="23">
        <v>96720</v>
      </c>
      <c r="D189" s="20"/>
      <c r="E189" s="16"/>
      <c r="F189" s="19"/>
      <c r="G189" s="20"/>
      <c r="H189" s="20"/>
      <c r="I189" s="20"/>
    </row>
    <row r="190" spans="1:9">
      <c r="A190">
        <v>2018</v>
      </c>
      <c r="B190" s="10" t="s">
        <v>122</v>
      </c>
      <c r="C190" s="23">
        <v>197154</v>
      </c>
      <c r="D190" s="20"/>
      <c r="E190" s="16"/>
      <c r="F190" s="19"/>
      <c r="G190" s="20"/>
      <c r="H190" s="20"/>
      <c r="I190" s="20"/>
    </row>
    <row r="191" spans="1:9">
      <c r="A191">
        <v>2018</v>
      </c>
      <c r="B191" s="10" t="s">
        <v>123</v>
      </c>
      <c r="D191" s="16"/>
      <c r="E191" s="16"/>
      <c r="F191" s="19"/>
      <c r="G191" s="16"/>
      <c r="H191" s="20"/>
      <c r="I191" s="20"/>
    </row>
    <row r="192" spans="1:9">
      <c r="A192">
        <v>2018</v>
      </c>
      <c r="B192" s="10" t="s">
        <v>124</v>
      </c>
      <c r="C192" s="23">
        <v>56797</v>
      </c>
      <c r="D192" s="20"/>
      <c r="E192" s="16"/>
      <c r="F192" s="19"/>
      <c r="G192" s="20"/>
      <c r="H192" s="20"/>
      <c r="I192" s="20"/>
    </row>
    <row r="193" spans="1:9">
      <c r="A193">
        <v>2018</v>
      </c>
      <c r="B193" s="10" t="s">
        <v>125</v>
      </c>
      <c r="C193" s="23">
        <v>54114</v>
      </c>
      <c r="D193" s="20"/>
      <c r="E193" s="16"/>
      <c r="F193" s="19"/>
      <c r="G193" s="20"/>
      <c r="H193" s="20"/>
      <c r="I193" s="20"/>
    </row>
    <row r="194" spans="1:9">
      <c r="A194">
        <v>2018</v>
      </c>
      <c r="B194" s="10" t="s">
        <v>126</v>
      </c>
      <c r="C194" s="23">
        <v>344218</v>
      </c>
      <c r="D194" s="20"/>
      <c r="E194" s="16"/>
      <c r="F194" s="19"/>
      <c r="G194" s="20"/>
      <c r="H194" s="20"/>
      <c r="I194" s="20"/>
    </row>
    <row r="195" spans="1:9">
      <c r="A195">
        <v>2018</v>
      </c>
      <c r="B195" s="10" t="s">
        <v>127</v>
      </c>
      <c r="D195" s="16"/>
      <c r="E195" s="16"/>
      <c r="F195" s="19"/>
      <c r="G195" s="16"/>
      <c r="H195" s="20"/>
      <c r="I195" s="20"/>
    </row>
    <row r="196" spans="1:9">
      <c r="A196">
        <v>2018</v>
      </c>
      <c r="B196" s="10" t="s">
        <v>128</v>
      </c>
      <c r="D196" s="16"/>
      <c r="E196" s="16"/>
      <c r="F196" s="19"/>
      <c r="G196" s="16"/>
      <c r="H196" s="20"/>
      <c r="I196" s="20"/>
    </row>
    <row r="197" spans="1:9">
      <c r="A197">
        <v>2018</v>
      </c>
      <c r="B197" s="10" t="s">
        <v>286</v>
      </c>
      <c r="C197" s="23">
        <v>457033</v>
      </c>
      <c r="D197" s="20"/>
      <c r="E197" s="16"/>
      <c r="F197" s="19"/>
      <c r="G197" s="20"/>
      <c r="H197" s="20"/>
      <c r="I197" s="20"/>
    </row>
    <row r="198" spans="1:9">
      <c r="A198">
        <v>2018</v>
      </c>
      <c r="B198" s="10" t="s">
        <v>290</v>
      </c>
      <c r="C198" s="23">
        <v>226888</v>
      </c>
      <c r="D198" s="20"/>
      <c r="E198" s="16"/>
      <c r="F198" s="19"/>
      <c r="G198" s="20"/>
      <c r="H198" s="20"/>
      <c r="I198" s="20"/>
    </row>
    <row r="199" spans="1:9">
      <c r="A199">
        <v>2018</v>
      </c>
      <c r="B199" s="10" t="s">
        <v>129</v>
      </c>
      <c r="C199" s="23">
        <v>145489</v>
      </c>
      <c r="D199" s="20"/>
      <c r="E199" s="16"/>
      <c r="F199" s="19"/>
      <c r="G199" s="20"/>
      <c r="H199" s="20"/>
      <c r="I199" s="20"/>
    </row>
    <row r="200" spans="1:9">
      <c r="A200">
        <v>2018</v>
      </c>
      <c r="B200" s="10" t="s">
        <v>130</v>
      </c>
      <c r="C200" s="23">
        <v>517214</v>
      </c>
      <c r="D200" s="20"/>
      <c r="E200" s="16"/>
      <c r="F200" s="19"/>
      <c r="G200" s="20"/>
      <c r="H200" s="20"/>
      <c r="I200" s="20"/>
    </row>
    <row r="201" spans="1:9">
      <c r="A201">
        <v>2018</v>
      </c>
      <c r="B201" s="10" t="s">
        <v>131</v>
      </c>
      <c r="C201" s="23">
        <v>53451</v>
      </c>
      <c r="D201" s="20"/>
      <c r="E201" s="16"/>
      <c r="F201" s="19"/>
      <c r="G201" s="20"/>
      <c r="H201" s="20"/>
      <c r="I201" s="20"/>
    </row>
    <row r="202" spans="1:9">
      <c r="A202">
        <v>2018</v>
      </c>
      <c r="B202" s="10" t="s">
        <v>132</v>
      </c>
      <c r="C202" s="23">
        <v>346362</v>
      </c>
      <c r="D202" s="20"/>
      <c r="E202" s="16"/>
      <c r="F202" s="19"/>
      <c r="G202" s="20"/>
      <c r="H202" s="20"/>
      <c r="I202" s="20"/>
    </row>
    <row r="203" spans="1:9">
      <c r="A203">
        <v>2018</v>
      </c>
      <c r="B203" s="10" t="s">
        <v>230</v>
      </c>
      <c r="C203" s="23">
        <v>330906</v>
      </c>
      <c r="D203" s="20"/>
      <c r="E203" s="16"/>
      <c r="F203" s="19"/>
      <c r="G203" s="20"/>
      <c r="H203" s="20"/>
      <c r="I203" s="20"/>
    </row>
    <row r="204" spans="1:9">
      <c r="A204">
        <v>2018</v>
      </c>
      <c r="B204" s="10" t="s">
        <v>133</v>
      </c>
      <c r="C204" s="23">
        <v>2930157</v>
      </c>
      <c r="D204" s="20"/>
      <c r="E204" s="16"/>
      <c r="F204" s="19"/>
      <c r="G204" s="20"/>
      <c r="H204" s="20"/>
      <c r="I204" s="20"/>
    </row>
    <row r="205" spans="1:9">
      <c r="A205">
        <v>2018</v>
      </c>
      <c r="B205" s="10" t="s">
        <v>205</v>
      </c>
      <c r="C205" s="23">
        <v>520949</v>
      </c>
      <c r="D205" s="20"/>
      <c r="E205" s="16"/>
      <c r="F205" s="19"/>
      <c r="G205" s="20"/>
      <c r="H205" s="20"/>
      <c r="I205" s="20"/>
    </row>
    <row r="206" spans="1:9">
      <c r="A206">
        <v>2018</v>
      </c>
      <c r="B206" s="10" t="s">
        <v>283</v>
      </c>
      <c r="D206" s="16"/>
      <c r="E206" s="16"/>
      <c r="F206" s="19"/>
      <c r="G206" s="16"/>
      <c r="H206" s="20"/>
      <c r="I206" s="20"/>
    </row>
    <row r="207" spans="1:9">
      <c r="A207">
        <v>2018</v>
      </c>
      <c r="B207" s="10" t="s">
        <v>206</v>
      </c>
      <c r="C207" s="23">
        <v>180405</v>
      </c>
      <c r="D207" s="20"/>
      <c r="E207" s="16"/>
      <c r="F207" s="19"/>
      <c r="G207" s="20"/>
      <c r="H207" s="20"/>
      <c r="I207" s="20"/>
    </row>
    <row r="208" spans="1:9">
      <c r="A208">
        <v>2018</v>
      </c>
      <c r="B208" s="10" t="s">
        <v>134</v>
      </c>
      <c r="C208" s="23">
        <v>351212</v>
      </c>
      <c r="D208" s="20"/>
      <c r="E208" s="16"/>
      <c r="F208" s="19"/>
      <c r="G208" s="20"/>
      <c r="H208" s="20"/>
      <c r="I208" s="20"/>
    </row>
    <row r="209" spans="1:9">
      <c r="A209">
        <v>2018</v>
      </c>
      <c r="B209" s="10" t="s">
        <v>250</v>
      </c>
      <c r="D209" s="16"/>
      <c r="E209" s="16"/>
      <c r="F209" s="19"/>
      <c r="G209" s="16"/>
      <c r="H209" s="16"/>
      <c r="I209" s="16"/>
    </row>
    <row r="210" spans="1:9">
      <c r="A210">
        <v>2018</v>
      </c>
      <c r="B210" s="10" t="s">
        <v>138</v>
      </c>
      <c r="D210" s="16"/>
      <c r="E210" s="16"/>
      <c r="F210" s="19"/>
      <c r="G210" s="16"/>
      <c r="H210" s="20"/>
      <c r="I210" s="20"/>
    </row>
    <row r="211" spans="1:9">
      <c r="A211">
        <v>2018</v>
      </c>
      <c r="B211" s="10" t="s">
        <v>139</v>
      </c>
      <c r="C211" s="23">
        <v>200085</v>
      </c>
      <c r="D211" s="20"/>
      <c r="E211" s="16"/>
      <c r="F211" s="19"/>
      <c r="G211" s="20"/>
      <c r="H211" s="20"/>
      <c r="I211" s="20"/>
    </row>
    <row r="212" spans="1:9">
      <c r="A212">
        <v>2018</v>
      </c>
      <c r="B212" s="10" t="s">
        <v>140</v>
      </c>
      <c r="C212" s="23">
        <v>132023</v>
      </c>
      <c r="D212" s="20"/>
      <c r="E212" s="16"/>
      <c r="F212" s="19"/>
      <c r="G212" s="20"/>
      <c r="H212" s="20"/>
      <c r="I212" s="20"/>
    </row>
    <row r="213" spans="1:9">
      <c r="A213">
        <v>2018</v>
      </c>
      <c r="B213" s="10" t="s">
        <v>141</v>
      </c>
      <c r="D213" s="16"/>
      <c r="E213" s="16"/>
      <c r="F213" s="19"/>
      <c r="G213" s="16"/>
      <c r="H213" s="20"/>
      <c r="I213" s="20"/>
    </row>
    <row r="214" spans="1:9">
      <c r="A214">
        <v>2018</v>
      </c>
      <c r="B214" s="10" t="s">
        <v>142</v>
      </c>
      <c r="C214" s="23">
        <v>242970</v>
      </c>
      <c r="D214" s="20"/>
      <c r="E214" s="16"/>
      <c r="F214" s="19"/>
      <c r="G214" s="20"/>
      <c r="H214" s="20"/>
      <c r="I214" s="20"/>
    </row>
    <row r="215" spans="1:9">
      <c r="A215">
        <v>2018</v>
      </c>
      <c r="B215" s="10" t="s">
        <v>143</v>
      </c>
      <c r="C215" s="23">
        <v>111932</v>
      </c>
      <c r="D215" s="20"/>
      <c r="E215" s="16"/>
      <c r="F215" s="19"/>
      <c r="G215" s="20"/>
      <c r="H215" s="20"/>
      <c r="I215" s="20"/>
    </row>
    <row r="216" spans="1:9">
      <c r="A216">
        <v>2018</v>
      </c>
      <c r="B216" s="10" t="s">
        <v>144</v>
      </c>
      <c r="D216" s="16"/>
      <c r="E216" s="16"/>
      <c r="F216" s="19"/>
      <c r="G216" s="16"/>
      <c r="H216" s="20"/>
      <c r="I216" s="20"/>
    </row>
    <row r="217" spans="1:9">
      <c r="A217">
        <v>2018</v>
      </c>
      <c r="B217" s="10" t="s">
        <v>145</v>
      </c>
      <c r="D217" s="16"/>
      <c r="E217" s="16"/>
      <c r="F217" s="19"/>
      <c r="G217" s="16"/>
      <c r="H217" s="20"/>
      <c r="I217" s="20"/>
    </row>
    <row r="218" spans="1:9">
      <c r="A218">
        <v>2018</v>
      </c>
      <c r="B218" s="10" t="s">
        <v>146</v>
      </c>
      <c r="C218" s="23">
        <v>3536310</v>
      </c>
      <c r="D218" s="20"/>
      <c r="E218" s="16"/>
      <c r="F218" s="19"/>
      <c r="G218" s="20"/>
      <c r="H218" s="20"/>
      <c r="I218" s="20"/>
    </row>
    <row r="219" spans="1:9">
      <c r="A219">
        <v>2018</v>
      </c>
      <c r="B219" s="10" t="s">
        <v>147</v>
      </c>
      <c r="C219" s="23">
        <v>136828</v>
      </c>
      <c r="D219" s="20"/>
      <c r="E219" s="16"/>
      <c r="F219" s="19"/>
      <c r="G219" s="20"/>
      <c r="H219" s="20"/>
      <c r="I219" s="20"/>
    </row>
    <row r="220" spans="1:9">
      <c r="A220">
        <v>2018</v>
      </c>
      <c r="B220" s="10" t="s">
        <v>288</v>
      </c>
      <c r="C220" s="23">
        <v>197374</v>
      </c>
      <c r="D220" s="20"/>
      <c r="E220" s="16"/>
      <c r="F220" s="19"/>
      <c r="G220" s="20"/>
      <c r="H220" s="20"/>
      <c r="I220" s="20"/>
    </row>
    <row r="221" spans="1:9">
      <c r="A221">
        <v>2018</v>
      </c>
      <c r="B221" s="10" t="s">
        <v>266</v>
      </c>
      <c r="C221" s="23">
        <v>997664</v>
      </c>
      <c r="D221" s="20"/>
      <c r="E221" s="16"/>
      <c r="F221" s="19"/>
      <c r="G221" s="20"/>
      <c r="H221" s="20"/>
      <c r="I221" s="20"/>
    </row>
    <row r="222" spans="1:9">
      <c r="A222">
        <v>2018</v>
      </c>
      <c r="B222" s="10" t="s">
        <v>267</v>
      </c>
      <c r="C222" s="23">
        <v>253923</v>
      </c>
      <c r="D222" s="20"/>
      <c r="E222" s="16"/>
      <c r="F222" s="19"/>
      <c r="G222" s="20"/>
      <c r="H222" s="20"/>
      <c r="I222" s="20"/>
    </row>
    <row r="223" spans="1:9">
      <c r="A223">
        <v>2018</v>
      </c>
      <c r="B223" s="10" t="s">
        <v>284</v>
      </c>
      <c r="C223" s="23">
        <v>780363</v>
      </c>
      <c r="D223" s="20"/>
      <c r="E223" s="16"/>
      <c r="F223" s="19"/>
      <c r="G223" s="20"/>
      <c r="H223" s="20"/>
      <c r="I223" s="20"/>
    </row>
    <row r="224" spans="1:9">
      <c r="A224">
        <v>2018</v>
      </c>
      <c r="B224" s="10" t="s">
        <v>148</v>
      </c>
      <c r="C224" s="23">
        <v>1571040</v>
      </c>
      <c r="D224" s="20"/>
      <c r="E224" s="16"/>
      <c r="F224" s="19"/>
      <c r="G224" s="20"/>
      <c r="H224" s="20"/>
      <c r="I224" s="20"/>
    </row>
    <row r="225" spans="1:9">
      <c r="A225">
        <v>2018</v>
      </c>
      <c r="B225" s="10" t="s">
        <v>135</v>
      </c>
      <c r="D225" s="16"/>
      <c r="E225" s="16"/>
      <c r="F225" s="19"/>
      <c r="G225" s="16"/>
      <c r="H225" s="20"/>
      <c r="I225" s="20"/>
    </row>
    <row r="226" spans="1:9">
      <c r="A226">
        <v>2018</v>
      </c>
      <c r="B226" s="10" t="s">
        <v>136</v>
      </c>
      <c r="D226" s="16"/>
      <c r="E226" s="16"/>
      <c r="F226" s="19"/>
      <c r="G226" s="16"/>
      <c r="H226" s="20"/>
      <c r="I226" s="20"/>
    </row>
    <row r="227" spans="1:9">
      <c r="A227">
        <v>2018</v>
      </c>
      <c r="B227" s="10" t="s">
        <v>199</v>
      </c>
      <c r="C227" s="23">
        <v>913265</v>
      </c>
      <c r="D227" s="20"/>
      <c r="E227" s="16"/>
      <c r="F227" s="19"/>
      <c r="G227" s="20"/>
      <c r="H227" s="20"/>
      <c r="I227" s="20"/>
    </row>
    <row r="228" spans="1:9">
      <c r="A228">
        <v>2018</v>
      </c>
      <c r="B228" s="10" t="s">
        <v>137</v>
      </c>
      <c r="C228" s="23">
        <v>821084</v>
      </c>
      <c r="D228" s="20"/>
      <c r="E228" s="16"/>
      <c r="F228" s="19"/>
      <c r="G228" s="20"/>
      <c r="H228" s="20"/>
      <c r="I228" s="20"/>
    </row>
    <row r="229" spans="1:9">
      <c r="A229">
        <v>2018</v>
      </c>
      <c r="B229" s="10" t="s">
        <v>149</v>
      </c>
      <c r="C229" s="23">
        <v>67413</v>
      </c>
      <c r="D229" s="20"/>
      <c r="E229" s="16"/>
      <c r="F229" s="19"/>
      <c r="G229" s="20"/>
      <c r="H229" s="20"/>
      <c r="I229" s="20"/>
    </row>
    <row r="230" spans="1:9">
      <c r="A230">
        <v>2018</v>
      </c>
      <c r="B230" s="10" t="s">
        <v>150</v>
      </c>
      <c r="C230" s="23">
        <v>170110</v>
      </c>
      <c r="D230" s="20"/>
      <c r="E230" s="16"/>
      <c r="F230" s="19"/>
      <c r="G230" s="20"/>
      <c r="H230" s="20"/>
      <c r="I230" s="20"/>
    </row>
    <row r="231" spans="1:9">
      <c r="A231">
        <v>2018</v>
      </c>
      <c r="B231" s="10" t="s">
        <v>269</v>
      </c>
      <c r="C231" s="23">
        <v>60713</v>
      </c>
      <c r="D231" s="20"/>
      <c r="E231" s="16"/>
      <c r="F231" s="19"/>
      <c r="G231" s="20"/>
      <c r="H231" s="20"/>
      <c r="I231" s="20"/>
    </row>
    <row r="232" spans="1:9">
      <c r="A232">
        <v>2018</v>
      </c>
      <c r="B232" s="10" t="s">
        <v>151</v>
      </c>
      <c r="C232" s="23">
        <v>782150</v>
      </c>
      <c r="D232" s="20"/>
      <c r="E232" s="16"/>
      <c r="F232" s="19"/>
      <c r="G232" s="20"/>
      <c r="H232" s="20"/>
      <c r="I232" s="20"/>
    </row>
    <row r="233" spans="1:9">
      <c r="A233">
        <v>2018</v>
      </c>
      <c r="B233" s="10" t="s">
        <v>152</v>
      </c>
      <c r="C233" s="23">
        <v>126981</v>
      </c>
      <c r="D233" s="20"/>
      <c r="E233" s="16"/>
      <c r="F233" s="19"/>
      <c r="G233" s="20"/>
      <c r="H233" s="20"/>
      <c r="I233" s="20"/>
    </row>
    <row r="234" spans="1:9">
      <c r="A234">
        <v>2018</v>
      </c>
      <c r="B234" s="10" t="s">
        <v>153</v>
      </c>
      <c r="D234" s="16"/>
      <c r="E234" s="16"/>
      <c r="F234" s="19"/>
      <c r="G234" s="16"/>
      <c r="H234" s="20"/>
      <c r="I234" s="20"/>
    </row>
    <row r="235" spans="1:9">
      <c r="A235">
        <v>2018</v>
      </c>
      <c r="B235" s="10" t="s">
        <v>154</v>
      </c>
      <c r="C235" s="23">
        <v>86294</v>
      </c>
      <c r="D235" s="20"/>
      <c r="E235" s="16"/>
      <c r="F235" s="19"/>
      <c r="G235" s="20"/>
      <c r="H235" s="20"/>
      <c r="I235" s="20"/>
    </row>
    <row r="236" spans="1:9">
      <c r="A236">
        <v>2018</v>
      </c>
      <c r="B236" s="10" t="s">
        <v>155</v>
      </c>
      <c r="C236" s="23">
        <v>101967</v>
      </c>
      <c r="D236" s="20"/>
      <c r="E236" s="16"/>
      <c r="F236" s="19"/>
      <c r="G236" s="20"/>
      <c r="H236" s="20"/>
      <c r="I236" s="20"/>
    </row>
    <row r="237" spans="1:9">
      <c r="A237">
        <v>2018</v>
      </c>
      <c r="B237" s="10" t="s">
        <v>156</v>
      </c>
      <c r="C237" s="23">
        <v>468111</v>
      </c>
      <c r="D237" s="20"/>
      <c r="E237" s="16"/>
      <c r="F237" s="19"/>
      <c r="G237" s="20"/>
      <c r="H237" s="20"/>
      <c r="I237" s="20"/>
    </row>
    <row r="238" spans="1:9">
      <c r="A238">
        <v>2018</v>
      </c>
      <c r="B238" s="10" t="s">
        <v>200</v>
      </c>
      <c r="C238" s="23">
        <v>433879</v>
      </c>
      <c r="D238" s="20"/>
      <c r="E238" s="16"/>
      <c r="F238" s="19"/>
      <c r="G238" s="20"/>
      <c r="H238" s="20"/>
      <c r="I238" s="20"/>
    </row>
    <row r="239" spans="1:9">
      <c r="A239">
        <v>2018</v>
      </c>
      <c r="B239" s="10" t="s">
        <v>157</v>
      </c>
      <c r="C239" s="23">
        <v>230251</v>
      </c>
      <c r="D239" s="20"/>
      <c r="E239" s="16"/>
      <c r="F239" s="19"/>
      <c r="G239" s="20"/>
      <c r="H239" s="20"/>
      <c r="I239" s="20"/>
    </row>
    <row r="240" spans="1:9">
      <c r="A240">
        <v>2018</v>
      </c>
      <c r="B240" s="10" t="s">
        <v>158</v>
      </c>
      <c r="D240" s="16"/>
      <c r="E240" s="16"/>
      <c r="F240" s="19"/>
      <c r="G240" s="16"/>
      <c r="H240" s="20"/>
      <c r="I240" s="20"/>
    </row>
    <row r="241" spans="1:9">
      <c r="A241">
        <v>2018</v>
      </c>
      <c r="B241" s="10" t="s">
        <v>159</v>
      </c>
      <c r="C241" s="23">
        <v>68569</v>
      </c>
      <c r="D241" s="20"/>
      <c r="E241" s="16"/>
      <c r="F241" s="19"/>
      <c r="G241" s="20"/>
      <c r="H241" s="20"/>
      <c r="I241" s="20"/>
    </row>
    <row r="242" spans="1:9">
      <c r="A242">
        <v>2018</v>
      </c>
      <c r="B242" s="10" t="s">
        <v>160</v>
      </c>
      <c r="C242" s="23">
        <v>164113</v>
      </c>
      <c r="D242" s="20"/>
      <c r="E242" s="16"/>
      <c r="F242" s="19"/>
      <c r="G242" s="20"/>
      <c r="H242" s="20"/>
      <c r="I242" s="20"/>
    </row>
    <row r="243" spans="1:9">
      <c r="A243">
        <v>2018</v>
      </c>
      <c r="B243" s="10" t="s">
        <v>161</v>
      </c>
      <c r="C243" s="23">
        <v>145363</v>
      </c>
      <c r="D243" s="20"/>
      <c r="E243" s="16"/>
      <c r="F243" s="19"/>
      <c r="G243" s="20"/>
      <c r="H243" s="20"/>
      <c r="I243" s="20"/>
    </row>
    <row r="244" spans="1:9">
      <c r="A244">
        <v>2018</v>
      </c>
      <c r="B244" s="10" t="s">
        <v>300</v>
      </c>
      <c r="C244" s="23">
        <v>557773</v>
      </c>
      <c r="D244" s="20"/>
      <c r="E244" s="16"/>
      <c r="F244" s="19"/>
      <c r="G244" s="20"/>
      <c r="H244" s="20"/>
      <c r="I244" s="20"/>
    </row>
    <row r="245" spans="1:9">
      <c r="A245">
        <v>2018</v>
      </c>
      <c r="B245" s="10" t="s">
        <v>224</v>
      </c>
      <c r="C245" s="23">
        <v>448840</v>
      </c>
      <c r="D245" s="20"/>
      <c r="E245" s="16"/>
      <c r="F245" s="19"/>
      <c r="G245" s="20"/>
      <c r="H245" s="20"/>
      <c r="I245" s="20"/>
    </row>
    <row r="246" spans="1:9">
      <c r="A246">
        <v>2018</v>
      </c>
      <c r="B246" s="10" t="s">
        <v>251</v>
      </c>
      <c r="C246" s="23">
        <v>342247</v>
      </c>
      <c r="D246" s="20"/>
      <c r="E246" s="16"/>
      <c r="F246" s="19"/>
      <c r="G246" s="20"/>
      <c r="H246" s="20"/>
      <c r="I246" s="20"/>
    </row>
    <row r="247" spans="1:9">
      <c r="A247">
        <v>2018</v>
      </c>
      <c r="B247" s="10" t="s">
        <v>162</v>
      </c>
      <c r="D247" s="16"/>
      <c r="E247" s="16"/>
      <c r="F247" s="19"/>
      <c r="G247" s="16"/>
      <c r="H247" s="20"/>
      <c r="I247" s="20"/>
    </row>
    <row r="248" spans="1:9">
      <c r="A248">
        <v>2018</v>
      </c>
      <c r="B248" s="10" t="s">
        <v>163</v>
      </c>
      <c r="D248" s="16"/>
      <c r="E248" s="16"/>
      <c r="F248" s="19"/>
      <c r="G248" s="16"/>
      <c r="H248" s="20"/>
      <c r="I248" s="20"/>
    </row>
    <row r="249" spans="1:9">
      <c r="A249">
        <v>2018</v>
      </c>
      <c r="B249" s="10" t="s">
        <v>244</v>
      </c>
      <c r="C249" s="23">
        <v>106443</v>
      </c>
      <c r="D249" s="20"/>
      <c r="E249" s="16"/>
      <c r="F249" s="19"/>
      <c r="G249" s="20"/>
      <c r="H249" s="20"/>
      <c r="I249" s="20"/>
    </row>
    <row r="250" spans="1:9">
      <c r="A250">
        <v>2018</v>
      </c>
      <c r="B250" s="10" t="s">
        <v>268</v>
      </c>
      <c r="C250" s="23">
        <v>374230</v>
      </c>
      <c r="D250" s="20"/>
      <c r="E250" s="16"/>
      <c r="F250" s="19"/>
      <c r="G250" s="20"/>
      <c r="H250" s="20"/>
      <c r="I250" s="20"/>
    </row>
    <row r="251" spans="1:9">
      <c r="A251">
        <v>2018</v>
      </c>
      <c r="B251" s="10" t="s">
        <v>257</v>
      </c>
      <c r="C251" s="23">
        <v>191459</v>
      </c>
      <c r="D251" s="20"/>
      <c r="E251" s="16"/>
      <c r="F251" s="19"/>
      <c r="G251" s="20"/>
      <c r="H251" s="20"/>
      <c r="I251" s="20"/>
    </row>
    <row r="252" spans="1:9">
      <c r="A252">
        <v>2018</v>
      </c>
      <c r="B252" s="10" t="s">
        <v>272</v>
      </c>
      <c r="C252" s="23">
        <v>776245</v>
      </c>
      <c r="D252" s="20"/>
      <c r="E252" s="16"/>
      <c r="F252" s="19"/>
      <c r="G252" s="20"/>
      <c r="H252" s="20"/>
      <c r="I252" s="20"/>
    </row>
    <row r="253" spans="1:9">
      <c r="A253">
        <v>2018</v>
      </c>
      <c r="B253" s="10" t="s">
        <v>274</v>
      </c>
      <c r="C253" s="23">
        <v>225108</v>
      </c>
      <c r="D253" s="20"/>
      <c r="E253" s="16"/>
      <c r="F253" s="19"/>
      <c r="G253" s="20"/>
      <c r="H253" s="20"/>
      <c r="I253" s="20"/>
    </row>
    <row r="254" spans="1:9">
      <c r="A254">
        <v>2018</v>
      </c>
      <c r="B254" s="10" t="s">
        <v>273</v>
      </c>
      <c r="C254" s="23">
        <v>88355</v>
      </c>
      <c r="D254" s="20"/>
      <c r="E254" s="16"/>
      <c r="F254" s="19"/>
      <c r="G254" s="20"/>
      <c r="H254" s="20"/>
      <c r="I254" s="20"/>
    </row>
    <row r="255" spans="1:9">
      <c r="A255">
        <v>2018</v>
      </c>
      <c r="B255" s="10" t="s">
        <v>278</v>
      </c>
      <c r="C255" s="23">
        <v>170285</v>
      </c>
      <c r="D255" s="20"/>
      <c r="E255" s="16"/>
      <c r="F255" s="19"/>
      <c r="G255" s="20"/>
      <c r="H255" s="20"/>
      <c r="I255" s="20"/>
    </row>
    <row r="256" spans="1:9">
      <c r="A256">
        <v>2018</v>
      </c>
      <c r="B256" s="10" t="s">
        <v>279</v>
      </c>
      <c r="D256" s="16"/>
      <c r="E256" s="16"/>
      <c r="F256" s="19"/>
      <c r="G256" s="16"/>
      <c r="H256" s="20"/>
      <c r="I256" s="20"/>
    </row>
    <row r="257" spans="1:9">
      <c r="A257">
        <v>2018</v>
      </c>
      <c r="B257" s="10" t="s">
        <v>280</v>
      </c>
      <c r="C257" s="23">
        <v>917143</v>
      </c>
      <c r="D257" s="20"/>
      <c r="E257" s="16"/>
      <c r="F257" s="19"/>
      <c r="G257" s="20"/>
      <c r="H257" s="20"/>
      <c r="I257" s="20"/>
    </row>
    <row r="258" spans="1:9">
      <c r="A258">
        <v>2018</v>
      </c>
      <c r="B258" s="10" t="s">
        <v>115</v>
      </c>
      <c r="C258" s="23">
        <v>187449</v>
      </c>
      <c r="D258" s="20"/>
      <c r="E258" s="16"/>
      <c r="F258" s="19"/>
      <c r="G258" s="20"/>
      <c r="H258" s="20"/>
      <c r="I258" s="20"/>
    </row>
    <row r="259" spans="1:9">
      <c r="A259">
        <v>2018</v>
      </c>
      <c r="B259" s="10" t="s">
        <v>216</v>
      </c>
      <c r="D259" s="16"/>
      <c r="E259" s="16"/>
      <c r="F259" s="19"/>
      <c r="G259" s="16"/>
      <c r="H259" s="20"/>
      <c r="I259" s="20"/>
    </row>
    <row r="260" spans="1:9">
      <c r="A260">
        <v>2018</v>
      </c>
      <c r="B260" s="10" t="s">
        <v>213</v>
      </c>
      <c r="C260" s="23">
        <v>31401</v>
      </c>
      <c r="D260" s="20"/>
      <c r="E260" s="16"/>
      <c r="F260" s="19"/>
      <c r="G260" s="20"/>
      <c r="H260" s="20"/>
      <c r="I260" s="20"/>
    </row>
    <row r="261" spans="1:9">
      <c r="A261">
        <v>2018</v>
      </c>
      <c r="B261" s="10" t="s">
        <v>164</v>
      </c>
      <c r="D261" s="16"/>
      <c r="E261" s="16"/>
      <c r="F261" s="19"/>
      <c r="G261" s="16"/>
      <c r="H261" s="20"/>
      <c r="I261" s="20"/>
    </row>
    <row r="262" spans="1:9">
      <c r="A262">
        <v>2018</v>
      </c>
      <c r="B262" s="10" t="s">
        <v>221</v>
      </c>
      <c r="D262" s="16"/>
      <c r="E262" s="16"/>
      <c r="F262" s="19"/>
      <c r="G262" s="16"/>
      <c r="H262" s="20"/>
      <c r="I262" s="20"/>
    </row>
    <row r="263" spans="1:9">
      <c r="A263">
        <v>2018</v>
      </c>
      <c r="B263" s="10" t="s">
        <v>165</v>
      </c>
      <c r="C263" s="23">
        <v>169970</v>
      </c>
      <c r="D263" s="20"/>
      <c r="E263" s="16"/>
      <c r="F263" s="19"/>
      <c r="G263" s="20"/>
      <c r="H263" s="20"/>
      <c r="I263" s="20"/>
    </row>
    <row r="264" spans="1:9">
      <c r="A264">
        <v>2018</v>
      </c>
      <c r="B264" s="10" t="s">
        <v>166</v>
      </c>
      <c r="D264" s="16"/>
      <c r="E264" s="16"/>
      <c r="F264" s="19"/>
      <c r="G264" s="16"/>
      <c r="H264" s="20"/>
      <c r="I264" s="20"/>
    </row>
    <row r="265" spans="1:9">
      <c r="A265">
        <v>2018</v>
      </c>
      <c r="B265" s="10" t="s">
        <v>167</v>
      </c>
      <c r="C265" s="23">
        <v>102797</v>
      </c>
      <c r="D265" s="20"/>
      <c r="E265" s="16"/>
      <c r="F265" s="19"/>
      <c r="G265" s="20"/>
      <c r="H265" s="20"/>
      <c r="I265" s="20"/>
    </row>
    <row r="266" spans="1:9">
      <c r="A266">
        <v>2018</v>
      </c>
      <c r="B266" s="10" t="s">
        <v>168</v>
      </c>
      <c r="D266" s="16"/>
      <c r="E266" s="16"/>
      <c r="F266" s="19"/>
      <c r="G266" s="16"/>
      <c r="H266" s="20"/>
      <c r="I266" s="20"/>
    </row>
    <row r="267" spans="1:9">
      <c r="A267">
        <v>2018</v>
      </c>
      <c r="B267" s="10" t="s">
        <v>169</v>
      </c>
      <c r="C267" s="23">
        <v>47628</v>
      </c>
      <c r="D267" s="20"/>
      <c r="E267" s="16"/>
      <c r="F267" s="19"/>
      <c r="G267" s="20"/>
      <c r="H267" s="20"/>
      <c r="I267" s="20"/>
    </row>
    <row r="268" spans="1:9">
      <c r="A268">
        <v>2018</v>
      </c>
      <c r="B268" s="10" t="s">
        <v>170</v>
      </c>
      <c r="D268" s="16"/>
      <c r="E268" s="16"/>
      <c r="F268" s="19"/>
      <c r="G268" s="16"/>
      <c r="H268" s="20"/>
      <c r="I268" s="20"/>
    </row>
    <row r="269" spans="1:9">
      <c r="A269">
        <v>2018</v>
      </c>
      <c r="B269" s="10" t="s">
        <v>275</v>
      </c>
      <c r="C269" s="23">
        <v>387774</v>
      </c>
      <c r="D269" s="20"/>
      <c r="E269" s="16"/>
      <c r="F269" s="19"/>
      <c r="G269" s="20"/>
      <c r="H269" s="20"/>
      <c r="I269" s="20"/>
    </row>
    <row r="270" spans="1:9">
      <c r="A270">
        <v>2018</v>
      </c>
      <c r="B270" s="10" t="s">
        <v>211</v>
      </c>
      <c r="C270" s="23">
        <v>142939</v>
      </c>
      <c r="D270" s="20"/>
      <c r="E270" s="16"/>
      <c r="F270" s="19"/>
      <c r="G270" s="20"/>
      <c r="H270" s="20"/>
      <c r="I270" s="20"/>
    </row>
    <row r="271" spans="1:9">
      <c r="A271">
        <v>2018</v>
      </c>
      <c r="B271" s="10" t="s">
        <v>171</v>
      </c>
      <c r="C271" s="23">
        <v>88709</v>
      </c>
      <c r="D271" s="20"/>
      <c r="E271" s="16"/>
      <c r="F271" s="19"/>
      <c r="G271" s="20"/>
      <c r="H271" s="20"/>
      <c r="I271" s="20"/>
    </row>
    <row r="272" spans="1:9">
      <c r="A272">
        <v>2018</v>
      </c>
      <c r="B272" s="10" t="s">
        <v>245</v>
      </c>
      <c r="C272" s="23">
        <v>119023</v>
      </c>
      <c r="D272" s="20"/>
      <c r="E272" s="16"/>
      <c r="F272" s="19"/>
      <c r="G272" s="20"/>
      <c r="H272" s="20"/>
      <c r="I272" s="20"/>
    </row>
    <row r="273" spans="1:9">
      <c r="A273">
        <v>2018</v>
      </c>
      <c r="B273" s="10" t="s">
        <v>256</v>
      </c>
      <c r="D273" s="16"/>
      <c r="E273" s="16"/>
      <c r="F273" s="19"/>
      <c r="G273" s="16"/>
      <c r="H273" s="20"/>
      <c r="I273" s="20"/>
    </row>
    <row r="274" spans="1:9">
      <c r="A274">
        <v>2018</v>
      </c>
      <c r="B274" s="10" t="s">
        <v>172</v>
      </c>
      <c r="D274" s="16"/>
      <c r="E274" s="16"/>
      <c r="F274" s="19"/>
      <c r="G274" s="16"/>
      <c r="H274" s="20"/>
      <c r="I274" s="20"/>
    </row>
    <row r="275" spans="1:9">
      <c r="A275">
        <v>2018</v>
      </c>
      <c r="B275" s="10" t="s">
        <v>173</v>
      </c>
      <c r="C275" s="23">
        <v>120099</v>
      </c>
      <c r="D275" s="20"/>
      <c r="E275" s="16"/>
      <c r="F275" s="19"/>
      <c r="G275" s="20"/>
      <c r="H275" s="20"/>
      <c r="I275" s="20"/>
    </row>
    <row r="276" spans="1:9">
      <c r="A276">
        <v>2018</v>
      </c>
      <c r="B276" s="10" t="s">
        <v>174</v>
      </c>
      <c r="D276" s="16"/>
      <c r="E276" s="16"/>
      <c r="F276" s="19"/>
      <c r="G276" s="16"/>
      <c r="H276" s="20"/>
      <c r="I276" s="20"/>
    </row>
    <row r="277" spans="1:9">
      <c r="A277">
        <v>2018</v>
      </c>
      <c r="B277" s="10" t="s">
        <v>175</v>
      </c>
      <c r="C277" s="23">
        <v>204428</v>
      </c>
      <c r="D277" s="20"/>
      <c r="E277" s="16"/>
      <c r="F277" s="19"/>
      <c r="G277" s="20"/>
      <c r="H277" s="20"/>
      <c r="I277" s="20"/>
    </row>
    <row r="278" spans="1:9">
      <c r="A278">
        <v>2018</v>
      </c>
      <c r="B278" s="10" t="s">
        <v>176</v>
      </c>
      <c r="C278" s="23">
        <v>81833</v>
      </c>
      <c r="D278" s="20"/>
      <c r="E278" s="16"/>
      <c r="F278" s="19"/>
      <c r="G278" s="20"/>
      <c r="H278" s="20"/>
      <c r="I278" s="20"/>
    </row>
    <row r="279" spans="1:9">
      <c r="A279">
        <v>2018</v>
      </c>
      <c r="B279" s="10" t="s">
        <v>177</v>
      </c>
      <c r="C279" s="23">
        <v>355505</v>
      </c>
      <c r="D279" s="20"/>
      <c r="E279" s="16"/>
      <c r="F279" s="19"/>
      <c r="G279" s="20"/>
      <c r="H279" s="20"/>
      <c r="I279" s="20"/>
    </row>
    <row r="280" spans="1:9">
      <c r="A280">
        <v>2018</v>
      </c>
      <c r="B280" s="10" t="s">
        <v>178</v>
      </c>
      <c r="C280" s="23">
        <v>89692</v>
      </c>
      <c r="D280" s="20"/>
      <c r="E280" s="16"/>
      <c r="F280" s="19"/>
      <c r="G280" s="20"/>
      <c r="H280" s="20"/>
      <c r="I280" s="20"/>
    </row>
    <row r="281" spans="1:9">
      <c r="A281">
        <v>2018</v>
      </c>
      <c r="B281" s="10" t="s">
        <v>179</v>
      </c>
      <c r="D281" s="16"/>
      <c r="E281" s="16"/>
      <c r="F281" s="19"/>
      <c r="G281" s="16"/>
      <c r="H281" s="20"/>
      <c r="I281" s="20"/>
    </row>
    <row r="282" spans="1:9">
      <c r="A282">
        <v>2018</v>
      </c>
      <c r="B282" s="10" t="s">
        <v>180</v>
      </c>
      <c r="C282" s="23">
        <v>200896</v>
      </c>
      <c r="D282" s="20"/>
      <c r="E282" s="16"/>
      <c r="F282" s="19"/>
      <c r="G282" s="20"/>
      <c r="H282" s="20"/>
      <c r="I282" s="20"/>
    </row>
    <row r="283" spans="1:9">
      <c r="A283">
        <v>2018</v>
      </c>
      <c r="B283" s="10" t="s">
        <v>181</v>
      </c>
      <c r="D283" s="16"/>
      <c r="E283" s="16"/>
      <c r="F283" s="19"/>
      <c r="G283" s="16"/>
      <c r="H283" s="20"/>
      <c r="I283" s="20"/>
    </row>
    <row r="284" spans="1:9">
      <c r="A284">
        <v>2018</v>
      </c>
      <c r="B284" s="10" t="s">
        <v>287</v>
      </c>
      <c r="D284" s="16"/>
      <c r="E284" s="16"/>
      <c r="F284" s="19"/>
      <c r="G284" s="16"/>
      <c r="H284" s="20"/>
      <c r="I284" s="20"/>
    </row>
    <row r="285" spans="1:9">
      <c r="A285">
        <v>2018</v>
      </c>
      <c r="B285" s="10" t="s">
        <v>305</v>
      </c>
      <c r="C285" s="23">
        <v>268137</v>
      </c>
      <c r="D285" s="20"/>
      <c r="E285" s="16"/>
      <c r="F285" s="19"/>
      <c r="G285" s="20"/>
      <c r="H285" s="20"/>
      <c r="I285" s="20"/>
    </row>
    <row r="286" spans="1:9">
      <c r="A286">
        <v>2018</v>
      </c>
      <c r="B286" s="10" t="s">
        <v>182</v>
      </c>
      <c r="D286" s="16"/>
      <c r="E286" s="16"/>
      <c r="F286" s="19"/>
      <c r="G286" s="16"/>
      <c r="H286" s="20"/>
      <c r="I286" s="20"/>
    </row>
    <row r="287" spans="1:9">
      <c r="A287">
        <v>2018</v>
      </c>
      <c r="B287" s="10" t="s">
        <v>183</v>
      </c>
      <c r="D287" s="16"/>
      <c r="E287" s="16"/>
      <c r="F287" s="19"/>
      <c r="G287" s="16"/>
      <c r="H287" s="20"/>
      <c r="I287" s="20"/>
    </row>
    <row r="288" spans="1:9">
      <c r="A288">
        <v>2018</v>
      </c>
      <c r="B288" s="10" t="s">
        <v>185</v>
      </c>
      <c r="C288" s="23">
        <v>180374</v>
      </c>
      <c r="D288" s="20"/>
      <c r="E288" s="16"/>
      <c r="F288" s="19"/>
      <c r="G288" s="20"/>
      <c r="H288" s="20"/>
      <c r="I288" s="20"/>
    </row>
    <row r="289" spans="1:9">
      <c r="A289">
        <v>2018</v>
      </c>
      <c r="B289" s="10" t="s">
        <v>184</v>
      </c>
      <c r="C289" s="23">
        <v>241187</v>
      </c>
      <c r="D289" s="20"/>
      <c r="E289" s="16"/>
      <c r="F289" s="19"/>
      <c r="G289" s="20"/>
      <c r="H289" s="20"/>
      <c r="I289" s="20"/>
    </row>
    <row r="290" spans="1:9">
      <c r="A290">
        <v>2018</v>
      </c>
      <c r="B290" s="10" t="s">
        <v>186</v>
      </c>
      <c r="D290" s="16"/>
      <c r="E290" s="16"/>
      <c r="F290" s="19"/>
      <c r="G290" s="16"/>
      <c r="H290" s="20"/>
      <c r="I290" s="20"/>
    </row>
    <row r="291" spans="1:9">
      <c r="A291">
        <v>2018</v>
      </c>
      <c r="B291" s="10" t="s">
        <v>187</v>
      </c>
      <c r="D291" s="16"/>
      <c r="E291" s="16"/>
      <c r="F291" s="19"/>
      <c r="G291" s="16"/>
      <c r="H291" s="20"/>
      <c r="I291" s="20"/>
    </row>
    <row r="292" spans="1:9">
      <c r="A292">
        <v>2018</v>
      </c>
      <c r="B292" s="10" t="s">
        <v>276</v>
      </c>
      <c r="C292" s="23">
        <v>288867</v>
      </c>
      <c r="D292" s="20"/>
      <c r="E292" s="16"/>
      <c r="F292" s="19"/>
      <c r="G292" s="20"/>
      <c r="H292" s="20"/>
      <c r="I292" s="20"/>
    </row>
    <row r="293" spans="1:9">
      <c r="A293">
        <v>2018</v>
      </c>
      <c r="B293" s="10" t="s">
        <v>270</v>
      </c>
      <c r="C293" s="23">
        <v>543759</v>
      </c>
      <c r="D293" s="20"/>
      <c r="E293" s="16"/>
      <c r="F293" s="19"/>
      <c r="G293" s="20"/>
      <c r="H293" s="20"/>
      <c r="I293" s="20"/>
    </row>
    <row r="294" spans="1:9">
      <c r="A294">
        <v>2018</v>
      </c>
      <c r="B294" s="10" t="s">
        <v>188</v>
      </c>
      <c r="C294" s="23">
        <v>23216</v>
      </c>
      <c r="D294" s="20"/>
      <c r="E294" s="16"/>
      <c r="F294" s="19"/>
      <c r="G294" s="20"/>
      <c r="H294" s="16"/>
      <c r="I294" s="20"/>
    </row>
    <row r="295" spans="1:9">
      <c r="A295">
        <v>2018</v>
      </c>
      <c r="B295" s="10" t="s">
        <v>233</v>
      </c>
      <c r="C295" s="23">
        <v>801350</v>
      </c>
      <c r="D295" s="20"/>
      <c r="E295" s="16"/>
      <c r="F295" s="19"/>
      <c r="G295" s="20"/>
      <c r="H295" s="20"/>
      <c r="I295" s="20"/>
    </row>
    <row r="296" spans="1:9">
      <c r="A296">
        <v>2018</v>
      </c>
      <c r="B296" s="10" t="s">
        <v>277</v>
      </c>
      <c r="C296" s="23">
        <v>203212</v>
      </c>
      <c r="D296" s="20"/>
      <c r="E296" s="16"/>
      <c r="F296" s="19"/>
      <c r="G296" s="20"/>
      <c r="H296" s="20"/>
      <c r="I296" s="20"/>
    </row>
    <row r="297" spans="1:9">
      <c r="A297">
        <v>2018</v>
      </c>
      <c r="B297" s="10" t="s">
        <v>236</v>
      </c>
      <c r="C297" s="23">
        <v>258519</v>
      </c>
      <c r="D297" s="20"/>
      <c r="E297" s="16"/>
      <c r="F297" s="19"/>
      <c r="G297" s="20"/>
      <c r="H297" s="20"/>
      <c r="I297" s="20"/>
    </row>
    <row r="298" spans="1:9">
      <c r="A298">
        <v>2018</v>
      </c>
      <c r="B298" s="10" t="s">
        <v>238</v>
      </c>
      <c r="D298" s="16"/>
      <c r="E298" s="16"/>
      <c r="F298" s="19"/>
      <c r="G298" s="16"/>
      <c r="H298" s="20"/>
      <c r="I298" s="20"/>
    </row>
    <row r="299" spans="1:9">
      <c r="A299">
        <v>2018</v>
      </c>
      <c r="B299" s="10" t="s">
        <v>189</v>
      </c>
      <c r="C299" s="23">
        <v>517678</v>
      </c>
      <c r="D299" s="20"/>
      <c r="E299" s="16"/>
      <c r="F299" s="19"/>
      <c r="G299" s="20"/>
      <c r="H299" s="20"/>
      <c r="I299" s="20"/>
    </row>
    <row r="300" spans="1:9">
      <c r="A300">
        <v>2018</v>
      </c>
      <c r="B300" s="10" t="s">
        <v>260</v>
      </c>
      <c r="C300" s="23">
        <v>235973</v>
      </c>
      <c r="D300" s="20"/>
      <c r="E300" s="16"/>
      <c r="F300" s="19"/>
      <c r="G300" s="20"/>
      <c r="H300" s="20"/>
      <c r="I300" s="20"/>
    </row>
    <row r="301" spans="1:9">
      <c r="A301">
        <v>2018</v>
      </c>
      <c r="B301" s="10" t="s">
        <v>214</v>
      </c>
      <c r="D301" s="16"/>
      <c r="E301" s="16"/>
      <c r="F301" s="19"/>
      <c r="G301" s="16"/>
      <c r="H301" s="16"/>
      <c r="I301" s="16"/>
    </row>
    <row r="302" spans="1:9">
      <c r="A302">
        <v>2018</v>
      </c>
      <c r="B302" s="10" t="s">
        <v>190</v>
      </c>
      <c r="C302" s="23">
        <v>1208477</v>
      </c>
      <c r="D302" s="20"/>
      <c r="E302" s="16"/>
      <c r="F302" s="19"/>
      <c r="G302" s="20"/>
      <c r="H302" s="20"/>
      <c r="I302" s="20"/>
    </row>
    <row r="303" spans="1:9">
      <c r="A303">
        <v>2018</v>
      </c>
      <c r="B303" s="10" t="s">
        <v>191</v>
      </c>
      <c r="C303" s="23">
        <v>105301</v>
      </c>
      <c r="D303" s="20"/>
      <c r="E303" s="16"/>
      <c r="F303" s="19"/>
      <c r="G303" s="20"/>
      <c r="H303" s="20"/>
      <c r="I303" s="20"/>
    </row>
    <row r="304" spans="1:9">
      <c r="A304">
        <v>2018</v>
      </c>
      <c r="B304" s="10" t="s">
        <v>192</v>
      </c>
      <c r="C304" s="23">
        <v>39823</v>
      </c>
      <c r="D304" s="20"/>
      <c r="E304" s="16"/>
      <c r="F304" s="19"/>
      <c r="G304" s="20"/>
      <c r="H304" s="20"/>
      <c r="I304" s="20"/>
    </row>
    <row r="305" spans="1:9">
      <c r="A305">
        <v>2018</v>
      </c>
      <c r="B305" s="10" t="s">
        <v>193</v>
      </c>
      <c r="C305" s="23">
        <v>33797</v>
      </c>
      <c r="D305" s="20"/>
      <c r="E305" s="16"/>
      <c r="F305" s="19"/>
      <c r="G305" s="20"/>
      <c r="H305" s="20"/>
      <c r="I305" s="20"/>
    </row>
    <row r="306" spans="1:9">
      <c r="A306">
        <v>2018</v>
      </c>
      <c r="B306" s="10" t="s">
        <v>194</v>
      </c>
      <c r="C306" s="23">
        <v>190154</v>
      </c>
      <c r="D306" s="20"/>
      <c r="E306" s="16"/>
      <c r="F306" s="19"/>
      <c r="G306" s="20"/>
      <c r="H306" s="20"/>
      <c r="I306" s="20"/>
    </row>
    <row r="307" spans="1:9">
      <c r="A307">
        <v>2018</v>
      </c>
      <c r="B307" s="10" t="s">
        <v>220</v>
      </c>
      <c r="C307" s="23">
        <v>608123</v>
      </c>
      <c r="D307" s="20"/>
      <c r="E307" s="16"/>
      <c r="F307" s="19"/>
      <c r="G307" s="20"/>
      <c r="H307" s="20"/>
      <c r="I307" s="20"/>
    </row>
    <row r="308" spans="1:9">
      <c r="A308">
        <v>2018</v>
      </c>
      <c r="B308" s="10" t="s">
        <v>195</v>
      </c>
      <c r="C308" s="23">
        <v>90831</v>
      </c>
      <c r="D308" s="20"/>
      <c r="E308" s="16"/>
      <c r="F308" s="19"/>
      <c r="G308" s="20"/>
      <c r="H308" s="20"/>
      <c r="I308" s="20"/>
    </row>
    <row r="310" spans="1:9">
      <c r="B310" s="12" t="s">
        <v>297</v>
      </c>
      <c r="C310" s="21">
        <f>SUM(C2:C308)</f>
        <v>110353591</v>
      </c>
    </row>
    <row r="311" spans="1:9">
      <c r="B311" s="12"/>
    </row>
    <row r="312" spans="1:9">
      <c r="B312" s="12" t="s">
        <v>296</v>
      </c>
      <c r="C312" s="21">
        <v>110353599</v>
      </c>
    </row>
    <row r="314" spans="1:9">
      <c r="B314" s="13" t="s">
        <v>295</v>
      </c>
      <c r="C314" s="24">
        <f>C310-C312</f>
        <v>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03B3-9D49-5B47-8562-E943714575E3}">
  <sheetPr>
    <tabColor rgb="FFFFFF00"/>
  </sheetPr>
  <dimension ref="A1:I330"/>
  <sheetViews>
    <sheetView workbookViewId="0">
      <selection activeCell="A2" sqref="A2:C324"/>
    </sheetView>
  </sheetViews>
  <sheetFormatPr baseColWidth="10" defaultRowHeight="16"/>
  <cols>
    <col min="2" max="2" width="22.5" style="10" bestFit="1" customWidth="1"/>
    <col min="3" max="3" width="15" style="10" bestFit="1" customWidth="1"/>
  </cols>
  <sheetData>
    <row r="1" spans="1:9">
      <c r="A1" t="s">
        <v>356</v>
      </c>
      <c r="B1" s="10" t="s">
        <v>293</v>
      </c>
      <c r="C1" s="10" t="s">
        <v>294</v>
      </c>
    </row>
    <row r="2" spans="1:9">
      <c r="A2">
        <v>2019</v>
      </c>
      <c r="B2" s="10" t="s">
        <v>207</v>
      </c>
      <c r="C2" s="25">
        <v>0</v>
      </c>
      <c r="D2" s="18"/>
      <c r="E2" s="18"/>
      <c r="F2" s="19"/>
      <c r="G2" s="18"/>
      <c r="H2" s="18"/>
      <c r="I2" s="18"/>
    </row>
    <row r="3" spans="1:9">
      <c r="A3">
        <v>2019</v>
      </c>
      <c r="B3" s="10" t="s">
        <v>306</v>
      </c>
      <c r="C3" s="23">
        <v>2356959</v>
      </c>
      <c r="D3" s="20"/>
      <c r="E3" s="16"/>
      <c r="F3" s="19"/>
      <c r="G3" s="20"/>
      <c r="H3" s="20"/>
      <c r="I3" s="20"/>
    </row>
    <row r="4" spans="1:9">
      <c r="A4">
        <v>2019</v>
      </c>
      <c r="B4" s="10" t="s">
        <v>210</v>
      </c>
      <c r="C4" s="10">
        <v>0</v>
      </c>
      <c r="D4" s="16"/>
      <c r="E4" s="16"/>
      <c r="F4" s="19"/>
      <c r="G4" s="16"/>
      <c r="H4" s="20"/>
      <c r="I4" s="20"/>
    </row>
    <row r="5" spans="1:9">
      <c r="A5">
        <v>2019</v>
      </c>
      <c r="B5" s="10" t="s">
        <v>204</v>
      </c>
      <c r="C5" s="10">
        <v>0</v>
      </c>
      <c r="D5" s="16"/>
      <c r="E5" s="16"/>
      <c r="F5" s="19"/>
      <c r="G5" s="16"/>
      <c r="H5" s="20"/>
      <c r="I5" s="20"/>
    </row>
    <row r="6" spans="1:9">
      <c r="A6">
        <v>2019</v>
      </c>
      <c r="B6" s="10" t="s">
        <v>307</v>
      </c>
      <c r="C6" s="23">
        <v>1372296</v>
      </c>
      <c r="D6" s="20"/>
      <c r="E6" s="16"/>
      <c r="F6" s="19"/>
      <c r="G6" s="20"/>
      <c r="H6" s="20"/>
      <c r="I6" s="20"/>
    </row>
    <row r="7" spans="1:9">
      <c r="A7">
        <v>2019</v>
      </c>
      <c r="B7" s="10" t="s">
        <v>232</v>
      </c>
      <c r="C7" s="23">
        <v>524541</v>
      </c>
      <c r="D7" s="20"/>
      <c r="E7" s="16"/>
      <c r="F7" s="19"/>
      <c r="G7" s="20"/>
      <c r="H7" s="20"/>
      <c r="I7" s="20"/>
    </row>
    <row r="8" spans="1:9">
      <c r="A8">
        <v>2019</v>
      </c>
      <c r="B8" s="10" t="s">
        <v>0</v>
      </c>
      <c r="C8" s="10">
        <v>0</v>
      </c>
      <c r="D8" s="16"/>
      <c r="E8" s="16"/>
      <c r="F8" s="19"/>
      <c r="G8" s="16"/>
      <c r="H8" s="20"/>
      <c r="I8" s="20"/>
    </row>
    <row r="9" spans="1:9">
      <c r="A9">
        <v>2019</v>
      </c>
      <c r="B9" s="10" t="s">
        <v>1</v>
      </c>
      <c r="C9" s="23">
        <v>72779</v>
      </c>
      <c r="D9" s="20"/>
      <c r="E9" s="16"/>
      <c r="F9" s="19"/>
      <c r="G9" s="20"/>
      <c r="H9" s="20"/>
      <c r="I9" s="20"/>
    </row>
    <row r="10" spans="1:9">
      <c r="A10">
        <v>2019</v>
      </c>
      <c r="B10" s="10" t="s">
        <v>2</v>
      </c>
      <c r="C10" s="23">
        <v>191576</v>
      </c>
      <c r="D10" s="20"/>
      <c r="E10" s="16"/>
      <c r="F10" s="19"/>
      <c r="G10" s="20"/>
      <c r="H10" s="20"/>
      <c r="I10" s="20"/>
    </row>
    <row r="11" spans="1:9">
      <c r="A11">
        <v>2019</v>
      </c>
      <c r="B11" s="10" t="s">
        <v>3</v>
      </c>
      <c r="C11" s="23">
        <v>564865</v>
      </c>
      <c r="D11" s="20"/>
      <c r="E11" s="16"/>
      <c r="F11" s="19"/>
      <c r="G11" s="20"/>
      <c r="H11" s="20"/>
      <c r="I11" s="20"/>
    </row>
    <row r="12" spans="1:9">
      <c r="A12">
        <v>2019</v>
      </c>
      <c r="B12" s="10" t="s">
        <v>212</v>
      </c>
      <c r="C12" s="10">
        <v>0</v>
      </c>
      <c r="D12" s="16"/>
      <c r="E12" s="16"/>
      <c r="F12" s="19"/>
      <c r="G12" s="16"/>
      <c r="H12" s="20"/>
      <c r="I12" s="20"/>
    </row>
    <row r="13" spans="1:9">
      <c r="A13">
        <v>2019</v>
      </c>
      <c r="B13" s="10" t="s">
        <v>4</v>
      </c>
      <c r="C13" s="23">
        <v>116951</v>
      </c>
      <c r="D13" s="20"/>
      <c r="E13" s="16"/>
      <c r="F13" s="19"/>
      <c r="G13" s="20"/>
      <c r="H13" s="20"/>
      <c r="I13" s="20"/>
    </row>
    <row r="14" spans="1:9">
      <c r="A14">
        <v>2019</v>
      </c>
      <c r="B14" s="10" t="s">
        <v>5</v>
      </c>
      <c r="C14" s="23">
        <v>82251</v>
      </c>
      <c r="D14" s="20"/>
      <c r="E14" s="16"/>
      <c r="F14" s="19"/>
      <c r="G14" s="20"/>
      <c r="H14" s="20"/>
      <c r="I14" s="20"/>
    </row>
    <row r="15" spans="1:9">
      <c r="A15">
        <v>2019</v>
      </c>
      <c r="B15" s="10" t="s">
        <v>6</v>
      </c>
      <c r="C15" s="10">
        <v>0</v>
      </c>
      <c r="D15" s="16"/>
      <c r="E15" s="16"/>
      <c r="F15" s="19"/>
      <c r="G15" s="16"/>
      <c r="H15" s="20"/>
      <c r="I15" s="20"/>
    </row>
    <row r="16" spans="1:9">
      <c r="A16">
        <v>2019</v>
      </c>
      <c r="B16" s="10" t="s">
        <v>7</v>
      </c>
      <c r="C16" s="23">
        <v>772930</v>
      </c>
      <c r="D16" s="20"/>
      <c r="E16" s="16"/>
      <c r="F16" s="19"/>
      <c r="G16" s="20"/>
      <c r="H16" s="20"/>
      <c r="I16" s="20"/>
    </row>
    <row r="17" spans="1:9">
      <c r="A17">
        <v>2019</v>
      </c>
      <c r="B17" s="10" t="s">
        <v>285</v>
      </c>
      <c r="C17" s="23">
        <v>645072</v>
      </c>
      <c r="D17" s="20"/>
      <c r="E17" s="16"/>
      <c r="F17" s="19"/>
      <c r="G17" s="20"/>
      <c r="H17" s="20"/>
      <c r="I17" s="20"/>
    </row>
    <row r="18" spans="1:9">
      <c r="A18">
        <v>2019</v>
      </c>
      <c r="B18" s="10" t="s">
        <v>8</v>
      </c>
      <c r="C18" s="23">
        <v>650702</v>
      </c>
      <c r="D18" s="20"/>
      <c r="E18" s="16"/>
      <c r="F18" s="19"/>
      <c r="G18" s="20"/>
      <c r="H18" s="20"/>
      <c r="I18" s="20"/>
    </row>
    <row r="19" spans="1:9">
      <c r="A19">
        <v>2019</v>
      </c>
      <c r="B19" s="10" t="s">
        <v>209</v>
      </c>
      <c r="C19" s="10">
        <v>0</v>
      </c>
      <c r="D19" s="16"/>
      <c r="E19" s="16"/>
      <c r="F19" s="19"/>
      <c r="G19" s="16"/>
      <c r="H19" s="20"/>
      <c r="I19" s="20"/>
    </row>
    <row r="20" spans="1:9">
      <c r="A20">
        <v>2019</v>
      </c>
      <c r="B20" s="10" t="s">
        <v>301</v>
      </c>
      <c r="C20" s="23">
        <v>186522</v>
      </c>
      <c r="D20" s="20"/>
      <c r="E20" s="16"/>
      <c r="F20" s="19"/>
      <c r="G20" s="20"/>
      <c r="H20" s="20"/>
      <c r="I20" s="20"/>
    </row>
    <row r="21" spans="1:9">
      <c r="A21">
        <v>2019</v>
      </c>
      <c r="B21" s="10" t="s">
        <v>9</v>
      </c>
      <c r="C21" s="23">
        <v>116352</v>
      </c>
      <c r="D21" s="20"/>
      <c r="E21" s="16"/>
      <c r="F21" s="19"/>
      <c r="G21" s="20"/>
      <c r="H21" s="20"/>
      <c r="I21" s="20"/>
    </row>
    <row r="22" spans="1:9">
      <c r="A22">
        <v>2019</v>
      </c>
      <c r="B22" s="10" t="s">
        <v>196</v>
      </c>
      <c r="C22" s="10">
        <v>0</v>
      </c>
      <c r="D22" s="16"/>
      <c r="E22" s="16"/>
      <c r="F22" s="19"/>
      <c r="G22" s="16"/>
      <c r="H22" s="20"/>
      <c r="I22" s="20"/>
    </row>
    <row r="23" spans="1:9">
      <c r="A23">
        <v>2019</v>
      </c>
      <c r="B23" s="10" t="s">
        <v>10</v>
      </c>
      <c r="C23" s="23">
        <v>617379</v>
      </c>
      <c r="D23" s="20"/>
      <c r="E23" s="16"/>
      <c r="F23" s="19"/>
      <c r="G23" s="20"/>
      <c r="H23" s="20"/>
      <c r="I23" s="20"/>
    </row>
    <row r="24" spans="1:9">
      <c r="A24">
        <v>2019</v>
      </c>
      <c r="B24" s="10" t="s">
        <v>223</v>
      </c>
      <c r="C24" s="23">
        <v>641482</v>
      </c>
      <c r="D24" s="20"/>
      <c r="E24" s="16"/>
      <c r="F24" s="19"/>
      <c r="G24" s="20"/>
      <c r="H24" s="20"/>
      <c r="I24" s="20"/>
    </row>
    <row r="25" spans="1:9">
      <c r="A25">
        <v>2019</v>
      </c>
      <c r="B25" s="10" t="s">
        <v>11</v>
      </c>
      <c r="C25" s="10">
        <v>0</v>
      </c>
      <c r="D25" s="16"/>
      <c r="E25" s="16"/>
      <c r="F25" s="19"/>
      <c r="G25" s="16"/>
      <c r="H25" s="20"/>
      <c r="I25" s="20"/>
    </row>
    <row r="26" spans="1:9">
      <c r="A26">
        <v>2019</v>
      </c>
      <c r="B26" s="10" t="s">
        <v>12</v>
      </c>
      <c r="C26" s="23">
        <v>156192</v>
      </c>
      <c r="D26" s="20"/>
      <c r="E26" s="16"/>
      <c r="F26" s="19"/>
      <c r="G26" s="20"/>
      <c r="H26" s="20"/>
      <c r="I26" s="20"/>
    </row>
    <row r="27" spans="1:9">
      <c r="A27">
        <v>2019</v>
      </c>
      <c r="B27" s="10" t="s">
        <v>13</v>
      </c>
      <c r="C27" s="23">
        <v>214462</v>
      </c>
      <c r="D27" s="20"/>
      <c r="E27" s="16"/>
      <c r="F27" s="19"/>
      <c r="G27" s="20"/>
      <c r="H27" s="20"/>
      <c r="I27" s="20"/>
    </row>
    <row r="28" spans="1:9">
      <c r="A28">
        <v>2019</v>
      </c>
      <c r="B28" s="10" t="s">
        <v>14</v>
      </c>
      <c r="C28" s="10">
        <v>0</v>
      </c>
      <c r="D28" s="16"/>
      <c r="E28" s="16"/>
      <c r="F28" s="19"/>
      <c r="G28" s="16"/>
      <c r="H28" s="20"/>
      <c r="I28" s="20"/>
    </row>
    <row r="29" spans="1:9">
      <c r="A29">
        <v>2019</v>
      </c>
      <c r="B29" s="10" t="s">
        <v>264</v>
      </c>
      <c r="C29" s="23">
        <v>541710</v>
      </c>
      <c r="D29" s="20"/>
      <c r="E29" s="16"/>
      <c r="F29" s="19"/>
      <c r="G29" s="20"/>
      <c r="H29" s="20"/>
      <c r="I29" s="20"/>
    </row>
    <row r="30" spans="1:9">
      <c r="A30">
        <v>2019</v>
      </c>
      <c r="B30" s="10" t="s">
        <v>15</v>
      </c>
      <c r="C30" s="10">
        <v>0</v>
      </c>
      <c r="D30" s="16"/>
      <c r="E30" s="16"/>
      <c r="F30" s="19"/>
      <c r="G30" s="16"/>
      <c r="H30" s="20"/>
      <c r="I30" s="20"/>
    </row>
    <row r="31" spans="1:9">
      <c r="A31">
        <v>2019</v>
      </c>
      <c r="B31" s="10" t="s">
        <v>16</v>
      </c>
      <c r="C31" s="23">
        <v>229984</v>
      </c>
      <c r="D31" s="20"/>
      <c r="E31" s="16"/>
      <c r="F31" s="19"/>
      <c r="G31" s="20"/>
      <c r="H31" s="20"/>
      <c r="I31" s="20"/>
    </row>
    <row r="32" spans="1:9">
      <c r="A32">
        <v>2019</v>
      </c>
      <c r="B32" s="10" t="s">
        <v>17</v>
      </c>
      <c r="C32" s="10">
        <v>0</v>
      </c>
      <c r="D32" s="16"/>
      <c r="E32" s="16"/>
      <c r="F32" s="19"/>
      <c r="G32" s="16"/>
      <c r="H32" s="20"/>
      <c r="I32" s="20"/>
    </row>
    <row r="33" spans="1:9">
      <c r="A33">
        <v>2019</v>
      </c>
      <c r="B33" s="10" t="s">
        <v>18</v>
      </c>
      <c r="C33" s="10">
        <v>0</v>
      </c>
      <c r="D33" s="16"/>
      <c r="E33" s="16"/>
      <c r="F33" s="19"/>
      <c r="G33" s="16"/>
      <c r="H33" s="20"/>
      <c r="I33" s="20"/>
    </row>
    <row r="34" spans="1:9">
      <c r="A34">
        <v>2019</v>
      </c>
      <c r="B34" s="10" t="s">
        <v>19</v>
      </c>
      <c r="C34" s="23">
        <v>813275</v>
      </c>
      <c r="D34" s="20"/>
      <c r="E34" s="16"/>
      <c r="F34" s="19"/>
      <c r="G34" s="20"/>
      <c r="H34" s="20"/>
      <c r="I34" s="20"/>
    </row>
    <row r="35" spans="1:9">
      <c r="A35">
        <v>2019</v>
      </c>
      <c r="B35" s="10" t="s">
        <v>219</v>
      </c>
      <c r="C35" s="23">
        <v>1253558</v>
      </c>
      <c r="D35" s="20"/>
      <c r="E35" s="16"/>
      <c r="F35" s="19"/>
      <c r="G35" s="20"/>
      <c r="H35" s="20"/>
      <c r="I35" s="20"/>
    </row>
    <row r="36" spans="1:9">
      <c r="A36">
        <v>2019</v>
      </c>
      <c r="B36" s="10" t="s">
        <v>20</v>
      </c>
      <c r="C36" s="10">
        <v>0</v>
      </c>
      <c r="D36" s="16"/>
      <c r="E36" s="16"/>
      <c r="F36" s="19"/>
      <c r="G36" s="16"/>
      <c r="H36" s="20"/>
      <c r="I36" s="20"/>
    </row>
    <row r="37" spans="1:9">
      <c r="A37">
        <v>2019</v>
      </c>
      <c r="B37" s="10" t="s">
        <v>21</v>
      </c>
      <c r="C37" s="10">
        <v>0</v>
      </c>
      <c r="D37" s="16"/>
      <c r="E37" s="16"/>
      <c r="F37" s="19"/>
      <c r="G37" s="16"/>
      <c r="H37" s="20"/>
      <c r="I37" s="20"/>
    </row>
    <row r="38" spans="1:9">
      <c r="A38">
        <v>2019</v>
      </c>
      <c r="B38" s="10" t="s">
        <v>22</v>
      </c>
      <c r="C38" s="23">
        <v>106304</v>
      </c>
      <c r="D38" s="20"/>
      <c r="E38" s="16"/>
      <c r="F38" s="19"/>
      <c r="G38" s="20"/>
      <c r="H38" s="20"/>
      <c r="I38" s="20"/>
    </row>
    <row r="39" spans="1:9">
      <c r="A39">
        <v>2019</v>
      </c>
      <c r="B39" s="10" t="s">
        <v>23</v>
      </c>
      <c r="C39" s="10">
        <v>0</v>
      </c>
      <c r="D39" s="16"/>
      <c r="E39" s="16"/>
      <c r="F39" s="19"/>
      <c r="G39" s="16"/>
      <c r="H39" s="20"/>
      <c r="I39" s="20"/>
    </row>
    <row r="40" spans="1:9">
      <c r="A40">
        <v>2019</v>
      </c>
      <c r="B40" s="10" t="s">
        <v>24</v>
      </c>
      <c r="C40" s="10">
        <v>0</v>
      </c>
      <c r="D40" s="16"/>
      <c r="E40" s="16"/>
      <c r="F40" s="19"/>
      <c r="G40" s="16"/>
      <c r="H40" s="20"/>
      <c r="I40" s="20"/>
    </row>
    <row r="41" spans="1:9">
      <c r="A41">
        <v>2019</v>
      </c>
      <c r="B41" s="10" t="s">
        <v>25</v>
      </c>
      <c r="C41" s="23">
        <v>98474</v>
      </c>
      <c r="D41" s="20"/>
      <c r="E41" s="16"/>
      <c r="F41" s="19"/>
      <c r="G41" s="20"/>
      <c r="H41" s="20"/>
      <c r="I41" s="20"/>
    </row>
    <row r="42" spans="1:9">
      <c r="A42">
        <v>2019</v>
      </c>
      <c r="B42" s="10" t="s">
        <v>26</v>
      </c>
      <c r="C42" s="10">
        <v>0</v>
      </c>
      <c r="D42" s="16"/>
      <c r="E42" s="16"/>
      <c r="F42" s="19"/>
      <c r="G42" s="16"/>
      <c r="H42" s="20"/>
      <c r="I42" s="20"/>
    </row>
    <row r="43" spans="1:9">
      <c r="A43">
        <v>2019</v>
      </c>
      <c r="B43" s="10" t="s">
        <v>27</v>
      </c>
      <c r="C43" s="23">
        <v>5215972</v>
      </c>
      <c r="D43" s="20"/>
      <c r="E43" s="16"/>
      <c r="F43" s="19"/>
      <c r="G43" s="20"/>
      <c r="H43" s="20"/>
      <c r="I43" s="20"/>
    </row>
    <row r="44" spans="1:9">
      <c r="A44">
        <v>2019</v>
      </c>
      <c r="B44" s="10" t="s">
        <v>197</v>
      </c>
      <c r="C44" s="23">
        <v>914974</v>
      </c>
      <c r="D44" s="20"/>
      <c r="E44" s="16"/>
      <c r="F44" s="19"/>
      <c r="G44" s="20"/>
      <c r="H44" s="20"/>
      <c r="I44" s="20"/>
    </row>
    <row r="45" spans="1:9">
      <c r="A45">
        <v>2019</v>
      </c>
      <c r="B45" s="10" t="s">
        <v>28</v>
      </c>
      <c r="C45" s="23">
        <v>211345</v>
      </c>
      <c r="D45" s="20"/>
      <c r="E45" s="16"/>
      <c r="F45" s="19"/>
      <c r="G45" s="20"/>
      <c r="H45" s="20"/>
      <c r="I45" s="20"/>
    </row>
    <row r="46" spans="1:9">
      <c r="A46">
        <v>2019</v>
      </c>
      <c r="B46" s="10" t="s">
        <v>29</v>
      </c>
      <c r="C46" s="23">
        <v>128331</v>
      </c>
      <c r="D46" s="20"/>
      <c r="E46" s="16"/>
      <c r="F46" s="19"/>
      <c r="G46" s="20"/>
      <c r="H46" s="20"/>
      <c r="I46" s="20"/>
    </row>
    <row r="47" spans="1:9">
      <c r="A47">
        <v>2019</v>
      </c>
      <c r="B47" s="10" t="s">
        <v>314</v>
      </c>
      <c r="C47" s="23">
        <v>477513</v>
      </c>
      <c r="D47" s="20"/>
      <c r="E47" s="16"/>
      <c r="F47" s="19"/>
      <c r="G47" s="20"/>
      <c r="H47" s="20"/>
      <c r="I47" s="20"/>
    </row>
    <row r="48" spans="1:9">
      <c r="A48">
        <v>2019</v>
      </c>
      <c r="B48" s="10" t="s">
        <v>241</v>
      </c>
      <c r="C48" s="23">
        <v>249386</v>
      </c>
      <c r="D48" s="20"/>
      <c r="E48" s="16"/>
      <c r="F48" s="19"/>
      <c r="G48" s="20"/>
      <c r="H48" s="20"/>
      <c r="I48" s="20"/>
    </row>
    <row r="49" spans="1:9">
      <c r="A49">
        <v>2019</v>
      </c>
      <c r="B49" s="10" t="s">
        <v>252</v>
      </c>
      <c r="C49" s="10">
        <v>0</v>
      </c>
      <c r="D49" s="16"/>
      <c r="E49" s="16"/>
      <c r="F49" s="19"/>
      <c r="G49" s="16"/>
      <c r="H49" s="20"/>
      <c r="I49" s="20"/>
    </row>
    <row r="50" spans="1:9">
      <c r="A50">
        <v>2019</v>
      </c>
      <c r="B50" s="10" t="s">
        <v>30</v>
      </c>
      <c r="C50" s="23">
        <v>275094</v>
      </c>
      <c r="D50" s="20"/>
      <c r="E50" s="16"/>
      <c r="F50" s="19"/>
      <c r="G50" s="20"/>
      <c r="H50" s="20"/>
      <c r="I50" s="20"/>
    </row>
    <row r="51" spans="1:9">
      <c r="A51">
        <v>2019</v>
      </c>
      <c r="B51" s="10" t="s">
        <v>31</v>
      </c>
      <c r="C51" s="23">
        <v>283390</v>
      </c>
      <c r="D51" s="20"/>
      <c r="E51" s="16"/>
      <c r="F51" s="19"/>
      <c r="G51" s="20"/>
      <c r="H51" s="20"/>
      <c r="I51" s="20"/>
    </row>
    <row r="52" spans="1:9">
      <c r="A52">
        <v>2019</v>
      </c>
      <c r="B52" s="10" t="s">
        <v>32</v>
      </c>
      <c r="C52" s="10">
        <v>0</v>
      </c>
      <c r="D52" s="16"/>
      <c r="E52" s="16"/>
      <c r="F52" s="19"/>
      <c r="G52" s="16"/>
      <c r="H52" s="20"/>
      <c r="I52" s="20"/>
    </row>
    <row r="53" spans="1:9">
      <c r="A53">
        <v>2019</v>
      </c>
      <c r="B53" s="10" t="s">
        <v>33</v>
      </c>
      <c r="C53" s="10">
        <v>0</v>
      </c>
      <c r="D53" s="16"/>
      <c r="E53" s="16"/>
      <c r="F53" s="19"/>
      <c r="G53" s="16"/>
      <c r="H53" s="20"/>
      <c r="I53" s="20"/>
    </row>
    <row r="54" spans="1:9">
      <c r="A54">
        <v>2019</v>
      </c>
      <c r="B54" s="10" t="s">
        <v>315</v>
      </c>
      <c r="C54" s="23">
        <v>384190</v>
      </c>
      <c r="D54" s="20"/>
      <c r="E54" s="16"/>
      <c r="F54" s="19"/>
      <c r="G54" s="20"/>
      <c r="H54" s="20"/>
      <c r="I54" s="20"/>
    </row>
    <row r="55" spans="1:9">
      <c r="A55">
        <v>2019</v>
      </c>
      <c r="B55" s="10" t="s">
        <v>308</v>
      </c>
      <c r="C55" s="23">
        <v>5426514</v>
      </c>
      <c r="D55" s="20"/>
      <c r="E55" s="16"/>
      <c r="F55" s="19"/>
      <c r="G55" s="20"/>
      <c r="H55" s="20"/>
      <c r="I55" s="20"/>
    </row>
    <row r="56" spans="1:9">
      <c r="A56">
        <v>2019</v>
      </c>
      <c r="B56" s="10" t="s">
        <v>229</v>
      </c>
      <c r="C56" s="10">
        <v>0</v>
      </c>
      <c r="D56" s="16"/>
      <c r="E56" s="16"/>
      <c r="F56" s="19"/>
      <c r="G56" s="16"/>
      <c r="H56" s="20"/>
      <c r="I56" s="20"/>
    </row>
    <row r="57" spans="1:9">
      <c r="A57">
        <v>2019</v>
      </c>
      <c r="B57" s="10" t="s">
        <v>34</v>
      </c>
      <c r="C57" s="23">
        <v>134164</v>
      </c>
      <c r="D57" s="20"/>
      <c r="E57" s="16"/>
      <c r="F57" s="19"/>
      <c r="G57" s="20"/>
      <c r="H57" s="20"/>
      <c r="I57" s="20"/>
    </row>
    <row r="58" spans="1:9">
      <c r="A58">
        <v>2019</v>
      </c>
      <c r="B58" s="10" t="s">
        <v>35</v>
      </c>
      <c r="C58" s="10">
        <v>0</v>
      </c>
      <c r="D58" s="16"/>
      <c r="E58" s="16"/>
      <c r="F58" s="19"/>
      <c r="G58" s="16"/>
      <c r="H58" s="20"/>
      <c r="I58" s="20"/>
    </row>
    <row r="59" spans="1:9">
      <c r="A59">
        <v>2019</v>
      </c>
      <c r="B59" s="10" t="s">
        <v>36</v>
      </c>
      <c r="C59" s="10">
        <v>0</v>
      </c>
      <c r="D59" s="16"/>
      <c r="E59" s="16"/>
      <c r="F59" s="19"/>
      <c r="G59" s="16"/>
      <c r="H59" s="20"/>
      <c r="I59" s="20"/>
    </row>
    <row r="60" spans="1:9">
      <c r="A60">
        <v>2019</v>
      </c>
      <c r="B60" s="10" t="s">
        <v>222</v>
      </c>
      <c r="C60" s="10">
        <v>0</v>
      </c>
      <c r="D60" s="16"/>
      <c r="E60" s="16"/>
      <c r="F60" s="19"/>
      <c r="G60" s="16"/>
      <c r="H60" s="20"/>
      <c r="I60" s="20"/>
    </row>
    <row r="61" spans="1:9">
      <c r="A61">
        <v>2019</v>
      </c>
      <c r="B61" s="10" t="s">
        <v>234</v>
      </c>
      <c r="C61" s="23">
        <v>793410</v>
      </c>
      <c r="D61" s="20"/>
      <c r="E61" s="16"/>
      <c r="F61" s="19"/>
      <c r="G61" s="20"/>
      <c r="H61" s="20"/>
      <c r="I61" s="20"/>
    </row>
    <row r="62" spans="1:9">
      <c r="A62">
        <v>2019</v>
      </c>
      <c r="B62" s="10" t="s">
        <v>231</v>
      </c>
      <c r="C62" s="10">
        <v>0</v>
      </c>
      <c r="D62" s="16"/>
      <c r="E62" s="16"/>
      <c r="F62" s="19"/>
      <c r="G62" s="16"/>
      <c r="H62" s="20"/>
      <c r="I62" s="20"/>
    </row>
    <row r="63" spans="1:9">
      <c r="A63">
        <v>2019</v>
      </c>
      <c r="B63" s="10" t="s">
        <v>37</v>
      </c>
      <c r="C63" s="10">
        <v>0</v>
      </c>
      <c r="D63" s="16"/>
      <c r="E63" s="16"/>
      <c r="F63" s="19"/>
      <c r="G63" s="16"/>
      <c r="H63" s="20"/>
      <c r="I63" s="20"/>
    </row>
    <row r="64" spans="1:9">
      <c r="A64">
        <v>2019</v>
      </c>
      <c r="B64" s="10" t="s">
        <v>38</v>
      </c>
      <c r="C64" s="23">
        <v>2762709</v>
      </c>
      <c r="D64" s="20"/>
      <c r="E64" s="16"/>
      <c r="F64" s="19"/>
      <c r="G64" s="20"/>
      <c r="H64" s="20"/>
      <c r="I64" s="20"/>
    </row>
    <row r="65" spans="1:9">
      <c r="A65">
        <v>2019</v>
      </c>
      <c r="B65" s="10" t="s">
        <v>39</v>
      </c>
      <c r="C65" s="10">
        <v>0</v>
      </c>
      <c r="D65" s="16"/>
      <c r="E65" s="16"/>
      <c r="F65" s="19"/>
      <c r="G65" s="16"/>
      <c r="H65" s="20"/>
      <c r="I65" s="20"/>
    </row>
    <row r="66" spans="1:9">
      <c r="A66">
        <v>2019</v>
      </c>
      <c r="B66" s="10" t="s">
        <v>40</v>
      </c>
      <c r="C66" s="10">
        <v>0</v>
      </c>
      <c r="D66" s="16"/>
      <c r="E66" s="16"/>
      <c r="F66" s="19"/>
      <c r="G66" s="16"/>
      <c r="H66" s="20"/>
      <c r="I66" s="20"/>
    </row>
    <row r="67" spans="1:9">
      <c r="A67">
        <v>2019</v>
      </c>
      <c r="B67" s="10" t="s">
        <v>41</v>
      </c>
      <c r="C67" s="23">
        <v>122861</v>
      </c>
      <c r="D67" s="20"/>
      <c r="E67" s="16"/>
      <c r="F67" s="19"/>
      <c r="G67" s="20"/>
      <c r="H67" s="20"/>
      <c r="I67" s="20"/>
    </row>
    <row r="68" spans="1:9">
      <c r="A68">
        <v>2019</v>
      </c>
      <c r="B68" s="10" t="s">
        <v>42</v>
      </c>
      <c r="C68" s="23">
        <v>171558</v>
      </c>
      <c r="D68" s="20"/>
      <c r="E68" s="16"/>
      <c r="F68" s="19"/>
      <c r="G68" s="20"/>
      <c r="H68" s="20"/>
      <c r="I68" s="20"/>
    </row>
    <row r="69" spans="1:9">
      <c r="A69">
        <v>2019</v>
      </c>
      <c r="B69" s="10" t="s">
        <v>43</v>
      </c>
      <c r="C69" s="23">
        <v>365594</v>
      </c>
      <c r="D69" s="20"/>
      <c r="E69" s="16"/>
      <c r="F69" s="19"/>
      <c r="G69" s="20"/>
      <c r="H69" s="20"/>
      <c r="I69" s="20"/>
    </row>
    <row r="70" spans="1:9">
      <c r="A70">
        <v>2019</v>
      </c>
      <c r="B70" s="10" t="s">
        <v>201</v>
      </c>
      <c r="C70" s="23">
        <v>15465</v>
      </c>
      <c r="D70" s="20"/>
      <c r="E70" s="16"/>
      <c r="F70" s="19"/>
      <c r="G70" s="20"/>
      <c r="H70" s="20"/>
      <c r="I70" s="20"/>
    </row>
    <row r="71" spans="1:9">
      <c r="A71">
        <v>2019</v>
      </c>
      <c r="B71" s="10" t="s">
        <v>202</v>
      </c>
      <c r="C71" s="23">
        <v>7441</v>
      </c>
      <c r="D71" s="20"/>
      <c r="E71" s="16"/>
      <c r="F71" s="19"/>
      <c r="G71" s="20"/>
      <c r="H71" s="20"/>
      <c r="I71" s="20"/>
    </row>
    <row r="72" spans="1:9">
      <c r="A72">
        <v>2019</v>
      </c>
      <c r="B72" s="10" t="s">
        <v>44</v>
      </c>
      <c r="C72" s="23">
        <v>317276</v>
      </c>
      <c r="D72" s="20"/>
      <c r="E72" s="16"/>
      <c r="F72" s="19"/>
      <c r="G72" s="20"/>
      <c r="H72" s="20"/>
      <c r="I72" s="20"/>
    </row>
    <row r="73" spans="1:9">
      <c r="A73">
        <v>2019</v>
      </c>
      <c r="B73" s="10" t="s">
        <v>45</v>
      </c>
      <c r="C73" s="10">
        <v>0</v>
      </c>
      <c r="D73" s="16"/>
      <c r="E73" s="16"/>
      <c r="F73" s="19"/>
      <c r="G73" s="16"/>
      <c r="H73" s="20"/>
      <c r="I73" s="20"/>
    </row>
    <row r="74" spans="1:9">
      <c r="A74">
        <v>2019</v>
      </c>
      <c r="B74" s="10" t="s">
        <v>46</v>
      </c>
      <c r="C74" s="23">
        <v>121345</v>
      </c>
      <c r="D74" s="20"/>
      <c r="E74" s="16"/>
      <c r="F74" s="19"/>
      <c r="G74" s="20"/>
      <c r="H74" s="20"/>
      <c r="I74" s="20"/>
    </row>
    <row r="75" spans="1:9">
      <c r="A75">
        <v>2019</v>
      </c>
      <c r="B75" s="10" t="s">
        <v>47</v>
      </c>
      <c r="C75" s="23">
        <v>192670</v>
      </c>
      <c r="D75" s="20"/>
      <c r="E75" s="16"/>
      <c r="F75" s="19"/>
      <c r="G75" s="20"/>
      <c r="H75" s="20"/>
      <c r="I75" s="20"/>
    </row>
    <row r="76" spans="1:9">
      <c r="A76">
        <v>2019</v>
      </c>
      <c r="B76" s="10" t="s">
        <v>48</v>
      </c>
      <c r="C76" s="23">
        <v>217533</v>
      </c>
      <c r="D76" s="20"/>
      <c r="E76" s="16"/>
      <c r="F76" s="19"/>
      <c r="G76" s="20"/>
      <c r="H76" s="20"/>
      <c r="I76" s="20"/>
    </row>
    <row r="77" spans="1:9">
      <c r="A77">
        <v>2019</v>
      </c>
      <c r="B77" s="10" t="s">
        <v>316</v>
      </c>
      <c r="C77" s="23">
        <v>167812</v>
      </c>
      <c r="D77" s="20"/>
      <c r="E77" s="16"/>
      <c r="F77" s="19"/>
      <c r="G77" s="20"/>
      <c r="H77" s="20"/>
      <c r="I77" s="20"/>
    </row>
    <row r="78" spans="1:9">
      <c r="A78">
        <v>2019</v>
      </c>
      <c r="B78" s="10" t="s">
        <v>49</v>
      </c>
      <c r="C78" s="10">
        <v>0</v>
      </c>
      <c r="D78" s="16"/>
      <c r="E78" s="16"/>
      <c r="F78" s="19"/>
      <c r="G78" s="16"/>
      <c r="H78" s="20"/>
      <c r="I78" s="20"/>
    </row>
    <row r="79" spans="1:9">
      <c r="A79">
        <v>2019</v>
      </c>
      <c r="B79" s="10" t="s">
        <v>302</v>
      </c>
      <c r="C79" s="23">
        <v>857898</v>
      </c>
      <c r="D79" s="20"/>
      <c r="E79" s="16"/>
      <c r="F79" s="19"/>
      <c r="G79" s="20"/>
      <c r="H79" s="20"/>
      <c r="I79" s="20"/>
    </row>
    <row r="80" spans="1:9">
      <c r="A80">
        <v>2019</v>
      </c>
      <c r="B80" s="10" t="s">
        <v>50</v>
      </c>
      <c r="C80" s="10">
        <v>0</v>
      </c>
      <c r="D80" s="16"/>
      <c r="E80" s="16"/>
      <c r="F80" s="19"/>
      <c r="G80" s="16"/>
      <c r="H80" s="20"/>
      <c r="I80" s="20"/>
    </row>
    <row r="81" spans="1:9">
      <c r="A81">
        <v>2019</v>
      </c>
      <c r="B81" s="10" t="s">
        <v>51</v>
      </c>
      <c r="C81" s="23">
        <v>672116</v>
      </c>
      <c r="D81" s="20"/>
      <c r="E81" s="16"/>
      <c r="F81" s="19"/>
      <c r="G81" s="20"/>
      <c r="H81" s="20"/>
      <c r="I81" s="20"/>
    </row>
    <row r="82" spans="1:9">
      <c r="A82">
        <v>2019</v>
      </c>
      <c r="B82" s="10" t="s">
        <v>240</v>
      </c>
      <c r="C82" s="10">
        <v>0</v>
      </c>
      <c r="D82" s="16"/>
      <c r="E82" s="16"/>
      <c r="F82" s="19"/>
      <c r="G82" s="16"/>
      <c r="H82" s="20"/>
      <c r="I82" s="20"/>
    </row>
    <row r="83" spans="1:9">
      <c r="A83">
        <v>2019</v>
      </c>
      <c r="B83" s="10" t="s">
        <v>52</v>
      </c>
      <c r="C83" s="10">
        <v>0</v>
      </c>
      <c r="D83" s="16"/>
      <c r="E83" s="16"/>
      <c r="F83" s="19"/>
      <c r="G83" s="16"/>
      <c r="H83" s="20"/>
      <c r="I83" s="20"/>
    </row>
    <row r="84" spans="1:9">
      <c r="A84">
        <v>2019</v>
      </c>
      <c r="B84" s="10" t="s">
        <v>53</v>
      </c>
      <c r="C84" s="10">
        <v>0</v>
      </c>
      <c r="D84" s="16"/>
      <c r="E84" s="16"/>
      <c r="F84" s="19"/>
      <c r="G84" s="16"/>
      <c r="H84" s="20"/>
      <c r="I84" s="20"/>
    </row>
    <row r="85" spans="1:9">
      <c r="A85">
        <v>2019</v>
      </c>
      <c r="B85" s="10" t="s">
        <v>54</v>
      </c>
      <c r="C85" s="10">
        <v>0</v>
      </c>
      <c r="D85" s="16"/>
      <c r="E85" s="16"/>
      <c r="F85" s="19"/>
      <c r="G85" s="16"/>
      <c r="H85" s="20"/>
      <c r="I85" s="20"/>
    </row>
    <row r="86" spans="1:9">
      <c r="A86">
        <v>2019</v>
      </c>
      <c r="B86" s="10" t="s">
        <v>309</v>
      </c>
      <c r="C86" s="23">
        <v>5885566</v>
      </c>
      <c r="D86" s="20"/>
      <c r="E86" s="16"/>
      <c r="F86" s="19"/>
      <c r="G86" s="20"/>
      <c r="H86" s="20"/>
      <c r="I86" s="20"/>
    </row>
    <row r="87" spans="1:9">
      <c r="A87">
        <v>2019</v>
      </c>
      <c r="B87" s="10" t="s">
        <v>55</v>
      </c>
      <c r="C87" s="10">
        <v>0</v>
      </c>
      <c r="D87" s="16"/>
      <c r="E87" s="16"/>
      <c r="F87" s="19"/>
      <c r="G87" s="16"/>
      <c r="H87" s="20"/>
      <c r="I87" s="20"/>
    </row>
    <row r="88" spans="1:9">
      <c r="A88">
        <v>2019</v>
      </c>
      <c r="B88" s="10" t="s">
        <v>228</v>
      </c>
      <c r="C88" s="10">
        <v>0</v>
      </c>
      <c r="D88" s="16"/>
      <c r="E88" s="16"/>
      <c r="F88" s="19"/>
      <c r="G88" s="16"/>
      <c r="H88" s="20"/>
      <c r="I88" s="20"/>
    </row>
    <row r="89" spans="1:9">
      <c r="A89">
        <v>2019</v>
      </c>
      <c r="B89" s="10" t="s">
        <v>56</v>
      </c>
      <c r="C89" s="23">
        <v>801018</v>
      </c>
      <c r="D89" s="20"/>
      <c r="E89" s="16"/>
      <c r="F89" s="19"/>
      <c r="G89" s="20"/>
      <c r="H89" s="20"/>
      <c r="I89" s="20"/>
    </row>
    <row r="90" spans="1:9">
      <c r="A90">
        <v>2019</v>
      </c>
      <c r="B90" s="10" t="s">
        <v>57</v>
      </c>
      <c r="C90" s="10">
        <v>0</v>
      </c>
      <c r="D90" s="16"/>
      <c r="E90" s="16"/>
      <c r="F90" s="19"/>
      <c r="G90" s="16"/>
      <c r="H90" s="20"/>
      <c r="I90" s="20"/>
    </row>
    <row r="91" spans="1:9">
      <c r="A91">
        <v>2019</v>
      </c>
      <c r="B91" s="10" t="s">
        <v>58</v>
      </c>
      <c r="C91" s="10">
        <v>0</v>
      </c>
      <c r="D91" s="16"/>
      <c r="E91" s="16"/>
      <c r="F91" s="19"/>
      <c r="G91" s="16"/>
      <c r="H91" s="20"/>
      <c r="I91" s="20"/>
    </row>
    <row r="92" spans="1:9">
      <c r="A92">
        <v>2019</v>
      </c>
      <c r="B92" s="10" t="s">
        <v>59</v>
      </c>
      <c r="C92" s="10">
        <v>0</v>
      </c>
      <c r="D92" s="16"/>
      <c r="E92" s="16"/>
      <c r="F92" s="19"/>
      <c r="G92" s="16"/>
      <c r="H92" s="20"/>
      <c r="I92" s="20"/>
    </row>
    <row r="93" spans="1:9">
      <c r="A93">
        <v>2019</v>
      </c>
      <c r="B93" s="10" t="s">
        <v>317</v>
      </c>
      <c r="C93" s="23">
        <v>304719</v>
      </c>
      <c r="D93" s="20"/>
      <c r="E93" s="16"/>
      <c r="F93" s="19"/>
      <c r="G93" s="20"/>
      <c r="H93" s="20"/>
      <c r="I93" s="20"/>
    </row>
    <row r="94" spans="1:9">
      <c r="A94">
        <v>2019</v>
      </c>
      <c r="B94" s="10" t="s">
        <v>60</v>
      </c>
      <c r="C94" s="23">
        <v>124633</v>
      </c>
      <c r="D94" s="20"/>
      <c r="E94" s="16"/>
      <c r="F94" s="19"/>
      <c r="G94" s="20"/>
      <c r="H94" s="20"/>
      <c r="I94" s="20"/>
    </row>
    <row r="95" spans="1:9">
      <c r="A95">
        <v>2019</v>
      </c>
      <c r="B95" s="10" t="s">
        <v>282</v>
      </c>
      <c r="C95" s="10">
        <v>0</v>
      </c>
      <c r="D95" s="16"/>
      <c r="E95" s="16"/>
      <c r="F95" s="19"/>
      <c r="G95" s="16"/>
      <c r="H95" s="20"/>
      <c r="I95" s="20"/>
    </row>
    <row r="96" spans="1:9">
      <c r="A96">
        <v>2019</v>
      </c>
      <c r="B96" s="10" t="s">
        <v>237</v>
      </c>
      <c r="C96" s="23">
        <v>417160</v>
      </c>
      <c r="D96" s="20"/>
      <c r="E96" s="16"/>
      <c r="F96" s="19"/>
      <c r="G96" s="20"/>
      <c r="H96" s="20"/>
      <c r="I96" s="20"/>
    </row>
    <row r="97" spans="1:9">
      <c r="A97">
        <v>2019</v>
      </c>
      <c r="B97" s="10" t="s">
        <v>235</v>
      </c>
      <c r="C97" s="23">
        <v>663610</v>
      </c>
      <c r="D97" s="20"/>
      <c r="E97" s="16"/>
      <c r="F97" s="19"/>
      <c r="G97" s="20"/>
      <c r="H97" s="20"/>
      <c r="I97" s="20"/>
    </row>
    <row r="98" spans="1:9">
      <c r="A98">
        <v>2019</v>
      </c>
      <c r="B98" s="10" t="s">
        <v>61</v>
      </c>
      <c r="C98" s="23">
        <v>94113</v>
      </c>
      <c r="D98" s="20"/>
      <c r="E98" s="16"/>
      <c r="F98" s="19"/>
      <c r="G98" s="20"/>
      <c r="H98" s="20"/>
      <c r="I98" s="20"/>
    </row>
    <row r="99" spans="1:9">
      <c r="A99">
        <v>2019</v>
      </c>
      <c r="B99" s="10" t="s">
        <v>253</v>
      </c>
      <c r="C99" s="23">
        <v>345041</v>
      </c>
      <c r="D99" s="20"/>
      <c r="E99" s="16"/>
      <c r="F99" s="19"/>
      <c r="G99" s="20"/>
      <c r="H99" s="20"/>
      <c r="I99" s="20"/>
    </row>
    <row r="100" spans="1:9">
      <c r="A100">
        <v>2019</v>
      </c>
      <c r="B100" s="10" t="s">
        <v>62</v>
      </c>
      <c r="C100" s="23">
        <v>618889</v>
      </c>
      <c r="D100" s="20"/>
      <c r="E100" s="16"/>
      <c r="F100" s="19"/>
      <c r="G100" s="20"/>
      <c r="H100" s="20"/>
      <c r="I100" s="20"/>
    </row>
    <row r="101" spans="1:9">
      <c r="A101">
        <v>2019</v>
      </c>
      <c r="B101" s="10" t="s">
        <v>63</v>
      </c>
      <c r="C101" s="23">
        <v>99907</v>
      </c>
      <c r="D101" s="20"/>
      <c r="E101" s="16"/>
      <c r="F101" s="19"/>
      <c r="G101" s="20"/>
      <c r="H101" s="20"/>
      <c r="I101" s="20"/>
    </row>
    <row r="102" spans="1:9">
      <c r="A102">
        <v>2019</v>
      </c>
      <c r="B102" s="10" t="s">
        <v>64</v>
      </c>
      <c r="C102" s="23">
        <v>93851</v>
      </c>
      <c r="D102" s="20"/>
      <c r="E102" s="16"/>
      <c r="F102" s="19"/>
      <c r="G102" s="20"/>
      <c r="H102" s="20"/>
      <c r="I102" s="20"/>
    </row>
    <row r="103" spans="1:9">
      <c r="A103">
        <v>2019</v>
      </c>
      <c r="B103" s="10" t="s">
        <v>65</v>
      </c>
      <c r="C103" s="23">
        <v>177736</v>
      </c>
      <c r="D103" s="20"/>
      <c r="E103" s="16"/>
      <c r="F103" s="19"/>
      <c r="G103" s="20"/>
      <c r="H103" s="20"/>
      <c r="I103" s="20"/>
    </row>
    <row r="104" spans="1:9">
      <c r="A104">
        <v>2019</v>
      </c>
      <c r="B104" s="10" t="s">
        <v>208</v>
      </c>
      <c r="C104" s="23">
        <v>184120</v>
      </c>
      <c r="D104" s="20"/>
      <c r="E104" s="16"/>
      <c r="F104" s="19"/>
      <c r="G104" s="20"/>
      <c r="H104" s="20"/>
      <c r="I104" s="20"/>
    </row>
    <row r="105" spans="1:9">
      <c r="A105">
        <v>2019</v>
      </c>
      <c r="B105" s="10" t="s">
        <v>318</v>
      </c>
      <c r="C105" s="23">
        <v>524701</v>
      </c>
      <c r="D105" s="20"/>
      <c r="E105" s="16"/>
      <c r="F105" s="19"/>
      <c r="G105" s="20"/>
      <c r="H105" s="20"/>
      <c r="I105" s="20"/>
    </row>
    <row r="106" spans="1:9">
      <c r="A106">
        <v>2019</v>
      </c>
      <c r="B106" s="10" t="s">
        <v>265</v>
      </c>
      <c r="C106" s="10">
        <v>0</v>
      </c>
      <c r="D106" s="16"/>
      <c r="E106" s="16"/>
      <c r="F106" s="19"/>
      <c r="G106" s="16"/>
      <c r="H106" s="20"/>
      <c r="I106" s="20"/>
    </row>
    <row r="107" spans="1:9">
      <c r="A107">
        <v>2019</v>
      </c>
      <c r="B107" s="10" t="s">
        <v>319</v>
      </c>
      <c r="C107" s="23">
        <v>648218</v>
      </c>
      <c r="D107" s="20"/>
      <c r="E107" s="16"/>
      <c r="F107" s="19"/>
      <c r="G107" s="20"/>
      <c r="H107" s="20"/>
      <c r="I107" s="20"/>
    </row>
    <row r="108" spans="1:9">
      <c r="A108">
        <v>2019</v>
      </c>
      <c r="B108" s="10" t="s">
        <v>67</v>
      </c>
      <c r="C108" s="10">
        <v>0</v>
      </c>
      <c r="D108" s="16"/>
      <c r="E108" s="16"/>
      <c r="F108" s="19"/>
      <c r="G108" s="16"/>
      <c r="H108" s="20"/>
      <c r="I108" s="20"/>
    </row>
    <row r="109" spans="1:9">
      <c r="A109">
        <v>2019</v>
      </c>
      <c r="B109" s="10" t="s">
        <v>68</v>
      </c>
      <c r="C109" s="23">
        <v>156077</v>
      </c>
      <c r="D109" s="20"/>
      <c r="E109" s="16"/>
      <c r="F109" s="19"/>
      <c r="G109" s="20"/>
      <c r="H109" s="20"/>
      <c r="I109" s="20"/>
    </row>
    <row r="110" spans="1:9">
      <c r="A110">
        <v>2019</v>
      </c>
      <c r="B110" s="10" t="s">
        <v>69</v>
      </c>
      <c r="C110" s="10">
        <v>0</v>
      </c>
      <c r="D110" s="16"/>
      <c r="E110" s="16"/>
      <c r="F110" s="19"/>
      <c r="G110" s="16"/>
      <c r="H110" s="20"/>
      <c r="I110" s="20"/>
    </row>
    <row r="111" spans="1:9">
      <c r="A111">
        <v>2019</v>
      </c>
      <c r="B111" s="10" t="s">
        <v>289</v>
      </c>
      <c r="C111" s="23">
        <v>248251</v>
      </c>
      <c r="D111" s="20"/>
      <c r="E111" s="16"/>
      <c r="F111" s="19"/>
      <c r="G111" s="20"/>
      <c r="H111" s="20"/>
      <c r="I111" s="20"/>
    </row>
    <row r="112" spans="1:9">
      <c r="A112">
        <v>2019</v>
      </c>
      <c r="B112" s="10" t="s">
        <v>70</v>
      </c>
      <c r="C112" s="23">
        <v>199048</v>
      </c>
      <c r="D112" s="20"/>
      <c r="E112" s="16"/>
      <c r="F112" s="19"/>
      <c r="G112" s="20"/>
      <c r="H112" s="20"/>
      <c r="I112" s="20"/>
    </row>
    <row r="113" spans="1:9">
      <c r="A113">
        <v>2019</v>
      </c>
      <c r="B113" s="10" t="s">
        <v>71</v>
      </c>
      <c r="C113" s="23">
        <v>2524506</v>
      </c>
      <c r="D113" s="20"/>
      <c r="E113" s="16"/>
      <c r="F113" s="19"/>
      <c r="G113" s="20"/>
      <c r="H113" s="20"/>
      <c r="I113" s="20"/>
    </row>
    <row r="114" spans="1:9">
      <c r="A114">
        <v>2019</v>
      </c>
      <c r="B114" s="10" t="s">
        <v>72</v>
      </c>
      <c r="C114" s="23">
        <v>299755</v>
      </c>
      <c r="D114" s="20"/>
      <c r="E114" s="16"/>
      <c r="F114" s="19"/>
      <c r="G114" s="20"/>
      <c r="H114" s="20"/>
      <c r="I114" s="20"/>
    </row>
    <row r="115" spans="1:9">
      <c r="A115">
        <v>2019</v>
      </c>
      <c r="B115" s="10" t="s">
        <v>310</v>
      </c>
      <c r="C115" s="23">
        <v>2620184</v>
      </c>
      <c r="D115" s="20"/>
      <c r="E115" s="16"/>
      <c r="F115" s="19"/>
      <c r="G115" s="20"/>
      <c r="H115" s="20"/>
      <c r="I115" s="20"/>
    </row>
    <row r="116" spans="1:9">
      <c r="A116">
        <v>2019</v>
      </c>
      <c r="B116" s="10" t="s">
        <v>239</v>
      </c>
      <c r="C116" s="10">
        <v>0</v>
      </c>
      <c r="D116" s="16"/>
      <c r="E116" s="16"/>
      <c r="F116" s="19"/>
      <c r="G116" s="16"/>
      <c r="H116" s="20"/>
      <c r="I116" s="20"/>
    </row>
    <row r="117" spans="1:9">
      <c r="A117">
        <v>2019</v>
      </c>
      <c r="B117" s="10" t="s">
        <v>262</v>
      </c>
      <c r="C117" s="23">
        <v>283935</v>
      </c>
      <c r="D117" s="20"/>
      <c r="E117" s="16"/>
      <c r="F117" s="19"/>
      <c r="G117" s="20"/>
      <c r="H117" s="20"/>
      <c r="I117" s="20"/>
    </row>
    <row r="118" spans="1:9">
      <c r="A118">
        <v>2019</v>
      </c>
      <c r="B118" s="10" t="s">
        <v>73</v>
      </c>
      <c r="C118" s="23">
        <v>300207</v>
      </c>
      <c r="D118" s="20"/>
      <c r="E118" s="16"/>
      <c r="F118" s="19"/>
      <c r="G118" s="20"/>
      <c r="H118" s="20"/>
      <c r="I118" s="20"/>
    </row>
    <row r="119" spans="1:9">
      <c r="A119">
        <v>2019</v>
      </c>
      <c r="B119" s="10" t="s">
        <v>74</v>
      </c>
      <c r="C119" s="10">
        <v>0</v>
      </c>
      <c r="D119" s="16"/>
      <c r="E119" s="16"/>
      <c r="F119" s="19"/>
      <c r="G119" s="16"/>
      <c r="H119" s="20"/>
      <c r="I119" s="20"/>
    </row>
    <row r="120" spans="1:9">
      <c r="A120">
        <v>2019</v>
      </c>
      <c r="B120" s="10" t="s">
        <v>75</v>
      </c>
      <c r="C120" s="23">
        <v>39837</v>
      </c>
      <c r="D120" s="20"/>
      <c r="E120" s="16"/>
      <c r="F120" s="19"/>
      <c r="G120" s="20"/>
      <c r="H120" s="20"/>
      <c r="I120" s="20"/>
    </row>
    <row r="121" spans="1:9">
      <c r="A121">
        <v>2019</v>
      </c>
      <c r="B121" s="10" t="s">
        <v>76</v>
      </c>
      <c r="C121" s="23">
        <v>112862</v>
      </c>
      <c r="D121" s="20"/>
      <c r="E121" s="16"/>
      <c r="F121" s="19"/>
      <c r="G121" s="20"/>
      <c r="H121" s="20"/>
      <c r="I121" s="20"/>
    </row>
    <row r="122" spans="1:9">
      <c r="A122">
        <v>2019</v>
      </c>
      <c r="B122" s="10" t="s">
        <v>77</v>
      </c>
      <c r="C122" s="10">
        <v>0</v>
      </c>
      <c r="D122" s="16"/>
      <c r="E122" s="16"/>
      <c r="F122" s="19"/>
      <c r="G122" s="16"/>
      <c r="H122" s="20"/>
      <c r="I122" s="20"/>
    </row>
    <row r="123" spans="1:9">
      <c r="A123">
        <v>2019</v>
      </c>
      <c r="B123" s="10" t="s">
        <v>78</v>
      </c>
      <c r="C123" s="23">
        <v>104869</v>
      </c>
      <c r="D123" s="20"/>
      <c r="E123" s="16"/>
      <c r="F123" s="19"/>
      <c r="G123" s="20"/>
      <c r="H123" s="20"/>
      <c r="I123" s="20"/>
    </row>
    <row r="124" spans="1:9">
      <c r="A124">
        <v>2019</v>
      </c>
      <c r="B124" s="10" t="s">
        <v>79</v>
      </c>
      <c r="C124" s="23">
        <v>36143</v>
      </c>
      <c r="D124" s="20"/>
      <c r="E124" s="16"/>
      <c r="F124" s="19"/>
      <c r="G124" s="20"/>
      <c r="H124" s="20"/>
      <c r="I124" s="20"/>
    </row>
    <row r="125" spans="1:9">
      <c r="A125">
        <v>2019</v>
      </c>
      <c r="B125" s="10" t="s">
        <v>80</v>
      </c>
      <c r="C125" s="23">
        <v>67228</v>
      </c>
      <c r="D125" s="20"/>
      <c r="E125" s="16"/>
      <c r="F125" s="19"/>
      <c r="G125" s="20"/>
      <c r="H125" s="20"/>
      <c r="I125" s="20"/>
    </row>
    <row r="126" spans="1:9">
      <c r="A126">
        <v>2019</v>
      </c>
      <c r="B126" s="10" t="s">
        <v>81</v>
      </c>
      <c r="C126" s="23">
        <v>79557</v>
      </c>
      <c r="D126" s="20"/>
      <c r="E126" s="16"/>
      <c r="F126" s="19"/>
      <c r="G126" s="20"/>
      <c r="H126" s="20"/>
      <c r="I126" s="20"/>
    </row>
    <row r="127" spans="1:9">
      <c r="A127">
        <v>2019</v>
      </c>
      <c r="B127" s="10" t="s">
        <v>82</v>
      </c>
      <c r="C127" s="10">
        <v>0</v>
      </c>
      <c r="D127" s="16"/>
      <c r="E127" s="16"/>
      <c r="F127" s="19"/>
      <c r="G127" s="16"/>
      <c r="H127" s="20"/>
      <c r="I127" s="20"/>
    </row>
    <row r="128" spans="1:9">
      <c r="A128">
        <v>2019</v>
      </c>
      <c r="B128" s="10" t="s">
        <v>83</v>
      </c>
      <c r="C128" s="10">
        <v>0</v>
      </c>
      <c r="D128" s="16"/>
      <c r="E128" s="16"/>
      <c r="F128" s="19"/>
      <c r="G128" s="16"/>
      <c r="H128" s="20"/>
      <c r="I128" s="20"/>
    </row>
    <row r="129" spans="1:9">
      <c r="A129">
        <v>2019</v>
      </c>
      <c r="B129" s="10" t="s">
        <v>320</v>
      </c>
      <c r="C129" s="23">
        <v>1583712</v>
      </c>
      <c r="D129" s="20"/>
      <c r="E129" s="16"/>
      <c r="F129" s="19"/>
      <c r="G129" s="20"/>
      <c r="H129" s="20"/>
      <c r="I129" s="20"/>
    </row>
    <row r="130" spans="1:9">
      <c r="A130">
        <v>2019</v>
      </c>
      <c r="B130" s="10" t="s">
        <v>246</v>
      </c>
      <c r="C130" s="23">
        <v>352851</v>
      </c>
      <c r="D130" s="20"/>
      <c r="E130" s="16"/>
      <c r="F130" s="19"/>
      <c r="G130" s="20"/>
      <c r="H130" s="20"/>
      <c r="I130" s="20"/>
    </row>
    <row r="131" spans="1:9">
      <c r="A131">
        <v>2019</v>
      </c>
      <c r="B131" s="10" t="s">
        <v>66</v>
      </c>
      <c r="C131" s="23">
        <v>73946</v>
      </c>
      <c r="D131" s="20"/>
      <c r="E131" s="16"/>
      <c r="F131" s="19"/>
      <c r="G131" s="20"/>
      <c r="H131" s="20"/>
      <c r="I131" s="20"/>
    </row>
    <row r="132" spans="1:9">
      <c r="A132">
        <v>2019</v>
      </c>
      <c r="B132" s="10" t="s">
        <v>311</v>
      </c>
      <c r="C132" s="23">
        <v>1561444</v>
      </c>
      <c r="D132" s="20"/>
      <c r="E132" s="16"/>
      <c r="F132" s="19"/>
      <c r="G132" s="20"/>
      <c r="H132" s="20"/>
      <c r="I132" s="20"/>
    </row>
    <row r="133" spans="1:9">
      <c r="A133">
        <v>2019</v>
      </c>
      <c r="B133" s="10" t="s">
        <v>255</v>
      </c>
      <c r="C133" s="23">
        <v>358102</v>
      </c>
      <c r="D133" s="20"/>
      <c r="E133" s="16"/>
      <c r="F133" s="19"/>
      <c r="G133" s="20"/>
      <c r="H133" s="20"/>
      <c r="I133" s="20"/>
    </row>
    <row r="134" spans="1:9">
      <c r="A134">
        <v>2019</v>
      </c>
      <c r="B134" s="10" t="s">
        <v>243</v>
      </c>
      <c r="C134" s="23">
        <v>354184</v>
      </c>
      <c r="D134" s="20"/>
      <c r="E134" s="16"/>
      <c r="F134" s="19"/>
      <c r="G134" s="20"/>
      <c r="H134" s="20"/>
      <c r="I134" s="20"/>
    </row>
    <row r="135" spans="1:9">
      <c r="A135">
        <v>2019</v>
      </c>
      <c r="B135" s="10" t="s">
        <v>248</v>
      </c>
      <c r="C135" s="10">
        <v>0</v>
      </c>
      <c r="D135" s="16"/>
      <c r="E135" s="16"/>
      <c r="F135" s="19"/>
      <c r="G135" s="16"/>
      <c r="H135" s="20"/>
      <c r="I135" s="20"/>
    </row>
    <row r="136" spans="1:9">
      <c r="A136">
        <v>2019</v>
      </c>
      <c r="B136" s="10" t="s">
        <v>84</v>
      </c>
      <c r="C136" s="10">
        <v>0</v>
      </c>
      <c r="D136" s="16"/>
      <c r="E136" s="16"/>
      <c r="F136" s="19"/>
      <c r="G136" s="16"/>
      <c r="H136" s="20"/>
      <c r="I136" s="20"/>
    </row>
    <row r="137" spans="1:9">
      <c r="A137">
        <v>2019</v>
      </c>
      <c r="B137" s="10" t="s">
        <v>261</v>
      </c>
      <c r="C137" s="23">
        <v>352656</v>
      </c>
      <c r="D137" s="20"/>
      <c r="E137" s="16"/>
      <c r="F137" s="19"/>
      <c r="G137" s="20"/>
      <c r="H137" s="20"/>
      <c r="I137" s="20"/>
    </row>
    <row r="138" spans="1:9">
      <c r="A138">
        <v>2019</v>
      </c>
      <c r="B138" s="10" t="s">
        <v>85</v>
      </c>
      <c r="C138" s="10">
        <v>0</v>
      </c>
      <c r="D138" s="16"/>
      <c r="E138" s="16"/>
      <c r="F138" s="19"/>
      <c r="G138" s="16"/>
      <c r="H138" s="20"/>
      <c r="I138" s="20"/>
    </row>
    <row r="139" spans="1:9">
      <c r="A139">
        <v>2019</v>
      </c>
      <c r="B139" s="10" t="s">
        <v>86</v>
      </c>
      <c r="C139" s="23">
        <v>90585</v>
      </c>
      <c r="D139" s="20"/>
      <c r="E139" s="16"/>
      <c r="F139" s="19"/>
      <c r="G139" s="20"/>
      <c r="H139" s="20"/>
      <c r="I139" s="20"/>
    </row>
    <row r="140" spans="1:9">
      <c r="A140">
        <v>2019</v>
      </c>
      <c r="B140" s="10" t="s">
        <v>321</v>
      </c>
      <c r="C140" s="23">
        <v>389872</v>
      </c>
      <c r="D140" s="20"/>
      <c r="E140" s="16"/>
      <c r="F140" s="19"/>
      <c r="G140" s="20"/>
      <c r="H140" s="20"/>
      <c r="I140" s="20"/>
    </row>
    <row r="141" spans="1:9">
      <c r="A141">
        <v>2019</v>
      </c>
      <c r="B141" s="10" t="s">
        <v>87</v>
      </c>
      <c r="C141" s="10">
        <v>0</v>
      </c>
      <c r="D141" s="16"/>
      <c r="E141" s="16"/>
      <c r="F141" s="19"/>
      <c r="G141" s="16"/>
      <c r="H141" s="20"/>
      <c r="I141" s="20"/>
    </row>
    <row r="142" spans="1:9">
      <c r="A142">
        <v>2019</v>
      </c>
      <c r="B142" s="10" t="s">
        <v>88</v>
      </c>
      <c r="C142" s="10">
        <v>0</v>
      </c>
      <c r="D142" s="16"/>
      <c r="E142" s="16"/>
      <c r="F142" s="19"/>
      <c r="G142" s="16"/>
      <c r="H142" s="20"/>
      <c r="I142" s="20"/>
    </row>
    <row r="143" spans="1:9">
      <c r="A143">
        <v>2019</v>
      </c>
      <c r="B143" s="10" t="s">
        <v>198</v>
      </c>
      <c r="C143" s="23">
        <v>494140</v>
      </c>
      <c r="D143" s="20"/>
      <c r="E143" s="16"/>
      <c r="F143" s="19"/>
      <c r="G143" s="20"/>
      <c r="H143" s="20"/>
      <c r="I143" s="20"/>
    </row>
    <row r="144" spans="1:9">
      <c r="A144">
        <v>2019</v>
      </c>
      <c r="B144" s="10" t="s">
        <v>89</v>
      </c>
      <c r="C144" s="10">
        <v>0</v>
      </c>
      <c r="D144" s="16"/>
      <c r="E144" s="16"/>
      <c r="F144" s="19"/>
      <c r="G144" s="16"/>
      <c r="H144" s="20"/>
      <c r="I144" s="20"/>
    </row>
    <row r="145" spans="1:9">
      <c r="A145">
        <v>2019</v>
      </c>
      <c r="B145" s="10" t="s">
        <v>90</v>
      </c>
      <c r="C145" s="10">
        <v>0</v>
      </c>
      <c r="D145" s="16"/>
      <c r="E145" s="16"/>
      <c r="F145" s="19"/>
      <c r="G145" s="16"/>
      <c r="H145" s="20"/>
      <c r="I145" s="20"/>
    </row>
    <row r="146" spans="1:9">
      <c r="A146">
        <v>2019</v>
      </c>
      <c r="B146" s="10" t="s">
        <v>312</v>
      </c>
      <c r="C146" s="23">
        <v>3666531</v>
      </c>
      <c r="D146" s="20"/>
      <c r="E146" s="16"/>
      <c r="F146" s="19"/>
      <c r="G146" s="20"/>
      <c r="H146" s="20"/>
      <c r="I146" s="20"/>
    </row>
    <row r="147" spans="1:9">
      <c r="A147">
        <v>2019</v>
      </c>
      <c r="B147" s="10" t="s">
        <v>91</v>
      </c>
      <c r="C147" s="23">
        <v>106051</v>
      </c>
      <c r="D147" s="20"/>
      <c r="E147" s="16"/>
      <c r="F147" s="19"/>
      <c r="G147" s="20"/>
      <c r="H147" s="20"/>
      <c r="I147" s="20"/>
    </row>
    <row r="148" spans="1:9">
      <c r="A148">
        <v>2019</v>
      </c>
      <c r="B148" s="10" t="s">
        <v>322</v>
      </c>
      <c r="C148" s="23">
        <v>194666</v>
      </c>
      <c r="D148" s="20"/>
      <c r="E148" s="16"/>
      <c r="F148" s="19"/>
      <c r="G148" s="20"/>
      <c r="H148" s="20"/>
      <c r="I148" s="20"/>
    </row>
    <row r="149" spans="1:9">
      <c r="A149">
        <v>2019</v>
      </c>
      <c r="B149" s="10" t="s">
        <v>92</v>
      </c>
      <c r="C149" s="10">
        <v>0</v>
      </c>
      <c r="D149" s="16"/>
      <c r="E149" s="16"/>
      <c r="F149" s="19"/>
      <c r="G149" s="16"/>
      <c r="H149" s="20"/>
      <c r="I149" s="20"/>
    </row>
    <row r="150" spans="1:9">
      <c r="A150">
        <v>2019</v>
      </c>
      <c r="B150" s="10" t="s">
        <v>215</v>
      </c>
      <c r="C150" s="10">
        <v>0</v>
      </c>
      <c r="D150" s="16"/>
      <c r="E150" s="16"/>
      <c r="F150" s="19"/>
      <c r="G150" s="16"/>
      <c r="H150" s="20"/>
      <c r="I150" s="20"/>
    </row>
    <row r="151" spans="1:9">
      <c r="A151">
        <v>2019</v>
      </c>
      <c r="B151" s="10" t="s">
        <v>93</v>
      </c>
      <c r="C151" s="23">
        <v>179592</v>
      </c>
      <c r="D151" s="20"/>
      <c r="E151" s="16"/>
      <c r="F151" s="19"/>
      <c r="G151" s="20"/>
      <c r="H151" s="20"/>
      <c r="I151" s="20"/>
    </row>
    <row r="152" spans="1:9">
      <c r="A152">
        <v>2019</v>
      </c>
      <c r="B152" s="10" t="s">
        <v>94</v>
      </c>
      <c r="C152" s="10">
        <v>0</v>
      </c>
      <c r="D152" s="16"/>
      <c r="E152" s="16"/>
      <c r="F152" s="19"/>
      <c r="G152" s="16"/>
      <c r="H152" s="20"/>
      <c r="I152" s="20"/>
    </row>
    <row r="153" spans="1:9">
      <c r="A153">
        <v>2019</v>
      </c>
      <c r="B153" s="10" t="s">
        <v>303</v>
      </c>
      <c r="C153" s="23">
        <v>1167812</v>
      </c>
      <c r="D153" s="20"/>
      <c r="E153" s="16"/>
      <c r="F153" s="19"/>
      <c r="G153" s="20"/>
      <c r="H153" s="20"/>
      <c r="I153" s="20"/>
    </row>
    <row r="154" spans="1:9">
      <c r="A154">
        <v>2019</v>
      </c>
      <c r="B154" s="10" t="s">
        <v>95</v>
      </c>
      <c r="C154" s="23">
        <v>1980505</v>
      </c>
      <c r="D154" s="20"/>
      <c r="E154" s="16"/>
      <c r="F154" s="19"/>
      <c r="G154" s="20"/>
      <c r="H154" s="20"/>
      <c r="I154" s="20"/>
    </row>
    <row r="155" spans="1:9">
      <c r="A155">
        <v>2019</v>
      </c>
      <c r="B155" s="10" t="s">
        <v>263</v>
      </c>
      <c r="C155" s="23">
        <v>849989</v>
      </c>
      <c r="D155" s="20"/>
      <c r="E155" s="16"/>
      <c r="F155" s="19"/>
      <c r="G155" s="20"/>
      <c r="H155" s="20"/>
      <c r="I155" s="20"/>
    </row>
    <row r="156" spans="1:9">
      <c r="A156">
        <v>2019</v>
      </c>
      <c r="B156" s="10" t="s">
        <v>96</v>
      </c>
      <c r="C156" s="10">
        <v>0</v>
      </c>
      <c r="D156" s="16"/>
      <c r="E156" s="16"/>
      <c r="F156" s="19"/>
      <c r="G156" s="16"/>
      <c r="H156" s="20"/>
      <c r="I156" s="20"/>
    </row>
    <row r="157" spans="1:9">
      <c r="A157">
        <v>2019</v>
      </c>
      <c r="B157" s="10" t="s">
        <v>97</v>
      </c>
      <c r="C157" s="23">
        <v>106861</v>
      </c>
      <c r="D157" s="20"/>
      <c r="E157" s="16"/>
      <c r="F157" s="19"/>
      <c r="G157" s="20"/>
      <c r="H157" s="20"/>
      <c r="I157" s="20"/>
    </row>
    <row r="158" spans="1:9">
      <c r="A158">
        <v>2019</v>
      </c>
      <c r="B158" s="10" t="s">
        <v>323</v>
      </c>
      <c r="C158" s="23">
        <v>1455259</v>
      </c>
      <c r="D158" s="20"/>
      <c r="E158" s="16"/>
      <c r="F158" s="19"/>
      <c r="G158" s="20"/>
      <c r="H158" s="20"/>
      <c r="I158" s="20"/>
    </row>
    <row r="159" spans="1:9">
      <c r="A159">
        <v>2019</v>
      </c>
      <c r="B159" s="10" t="s">
        <v>98</v>
      </c>
      <c r="C159" s="10">
        <v>0</v>
      </c>
      <c r="D159" s="16"/>
      <c r="E159" s="16"/>
      <c r="F159" s="19"/>
      <c r="G159" s="16"/>
      <c r="H159" s="20"/>
      <c r="I159" s="20"/>
    </row>
    <row r="160" spans="1:9">
      <c r="A160">
        <v>2019</v>
      </c>
      <c r="B160" s="10" t="s">
        <v>99</v>
      </c>
      <c r="C160" s="10">
        <v>0</v>
      </c>
      <c r="D160" s="16"/>
      <c r="E160" s="16"/>
      <c r="F160" s="19"/>
      <c r="G160" s="16"/>
      <c r="H160" s="20"/>
      <c r="I160" s="20"/>
    </row>
    <row r="161" spans="1:9">
      <c r="A161">
        <v>2019</v>
      </c>
      <c r="B161" s="10" t="s">
        <v>100</v>
      </c>
      <c r="C161" s="10">
        <v>0</v>
      </c>
      <c r="D161" s="16"/>
      <c r="E161" s="16"/>
      <c r="F161" s="19"/>
      <c r="G161" s="16"/>
      <c r="H161" s="20"/>
      <c r="I161" s="20"/>
    </row>
    <row r="162" spans="1:9">
      <c r="A162">
        <v>2019</v>
      </c>
      <c r="B162" s="10" t="s">
        <v>291</v>
      </c>
      <c r="C162" s="10">
        <v>0</v>
      </c>
      <c r="D162" s="16"/>
      <c r="E162" s="16"/>
      <c r="F162" s="19"/>
      <c r="G162" s="16"/>
      <c r="H162" s="20"/>
      <c r="I162" s="20"/>
    </row>
    <row r="163" spans="1:9">
      <c r="A163">
        <v>2019</v>
      </c>
      <c r="B163" s="10" t="s">
        <v>324</v>
      </c>
      <c r="C163" s="23">
        <v>2022497</v>
      </c>
      <c r="D163" s="20"/>
      <c r="E163" s="16"/>
      <c r="F163" s="19"/>
      <c r="G163" s="20"/>
      <c r="H163" s="20"/>
      <c r="I163" s="20"/>
    </row>
    <row r="164" spans="1:9">
      <c r="A164">
        <v>2019</v>
      </c>
      <c r="B164" s="10" t="s">
        <v>258</v>
      </c>
      <c r="C164" s="10">
        <v>0</v>
      </c>
      <c r="D164" s="16"/>
      <c r="E164" s="16"/>
      <c r="F164" s="19"/>
      <c r="G164" s="16"/>
      <c r="H164" s="20"/>
      <c r="I164" s="20"/>
    </row>
    <row r="165" spans="1:9">
      <c r="A165">
        <v>2019</v>
      </c>
      <c r="B165" s="10" t="s">
        <v>227</v>
      </c>
      <c r="C165" s="23">
        <v>1318295</v>
      </c>
      <c r="D165" s="20"/>
      <c r="E165" s="16"/>
      <c r="F165" s="19"/>
      <c r="G165" s="20"/>
      <c r="H165" s="20"/>
      <c r="I165" s="20"/>
    </row>
    <row r="166" spans="1:9">
      <c r="A166">
        <v>2019</v>
      </c>
      <c r="B166" s="10" t="s">
        <v>101</v>
      </c>
      <c r="C166" s="10">
        <v>0</v>
      </c>
      <c r="D166" s="16"/>
      <c r="E166" s="16"/>
      <c r="F166" s="19"/>
      <c r="G166" s="16"/>
      <c r="H166" s="20"/>
      <c r="I166" s="20"/>
    </row>
    <row r="167" spans="1:9">
      <c r="A167">
        <v>2019</v>
      </c>
      <c r="B167" s="10" t="s">
        <v>325</v>
      </c>
      <c r="C167" s="23">
        <v>2312549</v>
      </c>
      <c r="D167" s="20"/>
      <c r="E167" s="16"/>
      <c r="F167" s="19"/>
      <c r="G167" s="20"/>
      <c r="H167" s="20"/>
      <c r="I167" s="20"/>
    </row>
    <row r="168" spans="1:9">
      <c r="A168">
        <v>2019</v>
      </c>
      <c r="B168" s="10" t="s">
        <v>247</v>
      </c>
      <c r="C168" s="10">
        <v>0</v>
      </c>
      <c r="D168" s="16"/>
      <c r="E168" s="16"/>
      <c r="F168" s="19"/>
      <c r="G168" s="16"/>
      <c r="H168" s="20"/>
      <c r="I168" s="20"/>
    </row>
    <row r="169" spans="1:9">
      <c r="A169">
        <v>2019</v>
      </c>
      <c r="B169" s="10" t="s">
        <v>102</v>
      </c>
      <c r="C169" s="10">
        <v>0</v>
      </c>
      <c r="D169" s="16"/>
      <c r="E169" s="16"/>
      <c r="F169" s="19"/>
      <c r="G169" s="16"/>
      <c r="H169" s="20"/>
      <c r="I169" s="20"/>
    </row>
    <row r="170" spans="1:9">
      <c r="A170">
        <v>2019</v>
      </c>
      <c r="B170" s="10" t="s">
        <v>103</v>
      </c>
      <c r="C170" s="10">
        <v>0</v>
      </c>
      <c r="D170" s="16"/>
      <c r="E170" s="16"/>
      <c r="F170" s="19"/>
      <c r="G170" s="16"/>
      <c r="H170" s="20"/>
      <c r="I170" s="20"/>
    </row>
    <row r="171" spans="1:9">
      <c r="A171">
        <v>2019</v>
      </c>
      <c r="B171" s="10" t="s">
        <v>105</v>
      </c>
      <c r="C171" s="23">
        <v>117584</v>
      </c>
      <c r="D171" s="20"/>
      <c r="E171" s="16"/>
      <c r="F171" s="19"/>
      <c r="G171" s="20"/>
      <c r="H171" s="20"/>
      <c r="I171" s="20"/>
    </row>
    <row r="172" spans="1:9">
      <c r="A172">
        <v>2019</v>
      </c>
      <c r="B172" s="10" t="s">
        <v>104</v>
      </c>
      <c r="C172" s="23">
        <v>147318</v>
      </c>
      <c r="D172" s="20"/>
      <c r="E172" s="16"/>
      <c r="F172" s="19"/>
      <c r="G172" s="20"/>
      <c r="H172" s="20"/>
      <c r="I172" s="20"/>
    </row>
    <row r="173" spans="1:9">
      <c r="A173">
        <v>2019</v>
      </c>
      <c r="B173" s="10" t="s">
        <v>106</v>
      </c>
      <c r="C173" s="23">
        <v>302334</v>
      </c>
      <c r="D173" s="20"/>
      <c r="E173" s="16"/>
      <c r="F173" s="19"/>
      <c r="G173" s="20"/>
      <c r="H173" s="20"/>
      <c r="I173" s="20"/>
    </row>
    <row r="174" spans="1:9">
      <c r="A174">
        <v>2019</v>
      </c>
      <c r="B174" s="10" t="s">
        <v>107</v>
      </c>
      <c r="C174" s="23">
        <v>109105</v>
      </c>
      <c r="D174" s="20"/>
      <c r="E174" s="16"/>
      <c r="F174" s="19"/>
      <c r="G174" s="20"/>
      <c r="H174" s="20"/>
      <c r="I174" s="20"/>
    </row>
    <row r="175" spans="1:9">
      <c r="A175">
        <v>2019</v>
      </c>
      <c r="B175" s="10" t="s">
        <v>226</v>
      </c>
      <c r="C175" s="23">
        <v>1032044</v>
      </c>
      <c r="D175" s="20"/>
      <c r="E175" s="16"/>
      <c r="F175" s="19"/>
      <c r="G175" s="20"/>
      <c r="H175" s="20"/>
      <c r="I175" s="20"/>
    </row>
    <row r="176" spans="1:9">
      <c r="A176">
        <v>2019</v>
      </c>
      <c r="B176" s="10" t="s">
        <v>109</v>
      </c>
      <c r="C176" s="23">
        <v>55889</v>
      </c>
      <c r="D176" s="20"/>
      <c r="E176" s="16"/>
      <c r="F176" s="19"/>
      <c r="G176" s="20"/>
      <c r="H176" s="20"/>
      <c r="I176" s="20"/>
    </row>
    <row r="177" spans="1:9">
      <c r="A177">
        <v>2019</v>
      </c>
      <c r="B177" s="10" t="s">
        <v>110</v>
      </c>
      <c r="C177" s="10">
        <v>0</v>
      </c>
      <c r="D177" s="16"/>
      <c r="E177" s="16"/>
      <c r="F177" s="19"/>
      <c r="G177" s="16"/>
      <c r="H177" s="20"/>
      <c r="I177" s="20"/>
    </row>
    <row r="178" spans="1:9">
      <c r="A178">
        <v>2019</v>
      </c>
      <c r="B178" s="10" t="s">
        <v>111</v>
      </c>
      <c r="C178" s="23">
        <v>415030</v>
      </c>
      <c r="D178" s="20"/>
      <c r="E178" s="16"/>
      <c r="F178" s="19"/>
      <c r="G178" s="20"/>
      <c r="H178" s="20"/>
      <c r="I178" s="20"/>
    </row>
    <row r="179" spans="1:9">
      <c r="A179">
        <v>2019</v>
      </c>
      <c r="B179" s="10" t="s">
        <v>249</v>
      </c>
      <c r="C179" s="23">
        <v>359798</v>
      </c>
      <c r="D179" s="20"/>
      <c r="E179" s="16"/>
      <c r="F179" s="19"/>
      <c r="G179" s="20"/>
      <c r="H179" s="20"/>
      <c r="I179" s="20"/>
    </row>
    <row r="180" spans="1:9">
      <c r="A180">
        <v>2019</v>
      </c>
      <c r="B180" s="10" t="s">
        <v>281</v>
      </c>
      <c r="C180" s="10">
        <v>0</v>
      </c>
      <c r="D180" s="16"/>
      <c r="E180" s="16"/>
      <c r="F180" s="19"/>
      <c r="G180" s="16"/>
      <c r="H180" s="20"/>
      <c r="I180" s="20"/>
    </row>
    <row r="181" spans="1:9">
      <c r="A181">
        <v>2019</v>
      </c>
      <c r="B181" s="10" t="s">
        <v>112</v>
      </c>
      <c r="C181" s="10">
        <v>0</v>
      </c>
      <c r="D181" s="16"/>
      <c r="E181" s="16"/>
      <c r="F181" s="19"/>
      <c r="G181" s="16"/>
      <c r="H181" s="20"/>
      <c r="I181" s="20"/>
    </row>
    <row r="182" spans="1:9">
      <c r="A182">
        <v>2019</v>
      </c>
      <c r="B182" s="10" t="s">
        <v>242</v>
      </c>
      <c r="C182" s="10">
        <v>0</v>
      </c>
      <c r="D182" s="16"/>
      <c r="E182" s="16"/>
      <c r="F182" s="19"/>
      <c r="G182" s="16"/>
      <c r="H182" s="20"/>
      <c r="I182" s="20"/>
    </row>
    <row r="183" spans="1:9">
      <c r="A183">
        <v>2019</v>
      </c>
      <c r="B183" s="10" t="s">
        <v>313</v>
      </c>
      <c r="C183" s="23">
        <v>1243504</v>
      </c>
      <c r="D183" s="20"/>
      <c r="E183" s="16"/>
      <c r="F183" s="19"/>
      <c r="G183" s="20"/>
      <c r="H183" s="20"/>
      <c r="I183" s="20"/>
    </row>
    <row r="184" spans="1:9">
      <c r="A184">
        <v>2019</v>
      </c>
      <c r="B184" s="10" t="s">
        <v>217</v>
      </c>
      <c r="C184" s="23">
        <v>319700</v>
      </c>
      <c r="D184" s="20"/>
      <c r="E184" s="16"/>
      <c r="F184" s="19"/>
      <c r="G184" s="20"/>
      <c r="H184" s="20"/>
      <c r="I184" s="20"/>
    </row>
    <row r="185" spans="1:9">
      <c r="A185">
        <v>2019</v>
      </c>
      <c r="B185" s="10" t="s">
        <v>259</v>
      </c>
      <c r="C185" s="23">
        <v>667566</v>
      </c>
      <c r="D185" s="20"/>
      <c r="E185" s="16"/>
      <c r="F185" s="19"/>
      <c r="G185" s="20"/>
      <c r="H185" s="20"/>
      <c r="I185" s="20"/>
    </row>
    <row r="186" spans="1:9">
      <c r="A186">
        <v>2019</v>
      </c>
      <c r="B186" s="10" t="s">
        <v>113</v>
      </c>
      <c r="C186" s="23">
        <v>92091</v>
      </c>
      <c r="D186" s="20"/>
      <c r="E186" s="16"/>
      <c r="F186" s="19"/>
      <c r="G186" s="20"/>
      <c r="H186" s="20"/>
      <c r="I186" s="20"/>
    </row>
    <row r="187" spans="1:9">
      <c r="A187">
        <v>2019</v>
      </c>
      <c r="B187" s="10" t="s">
        <v>254</v>
      </c>
      <c r="C187" s="23">
        <v>286480</v>
      </c>
      <c r="D187" s="20"/>
      <c r="E187" s="16"/>
      <c r="F187" s="19"/>
      <c r="G187" s="20"/>
      <c r="H187" s="20"/>
      <c r="I187" s="20"/>
    </row>
    <row r="188" spans="1:9">
      <c r="A188">
        <v>2019</v>
      </c>
      <c r="B188" s="10" t="s">
        <v>114</v>
      </c>
      <c r="C188" s="23">
        <v>111275</v>
      </c>
      <c r="D188" s="20"/>
      <c r="E188" s="16"/>
      <c r="F188" s="19"/>
      <c r="G188" s="20"/>
      <c r="H188" s="20"/>
      <c r="I188" s="20"/>
    </row>
    <row r="189" spans="1:9">
      <c r="A189">
        <v>2019</v>
      </c>
      <c r="B189" s="10" t="s">
        <v>304</v>
      </c>
      <c r="C189" s="23">
        <v>1156304</v>
      </c>
      <c r="D189" s="20"/>
      <c r="E189" s="16"/>
      <c r="F189" s="19"/>
      <c r="G189" s="20"/>
      <c r="H189" s="20"/>
      <c r="I189" s="20"/>
    </row>
    <row r="190" spans="1:9">
      <c r="A190">
        <v>2019</v>
      </c>
      <c r="B190" s="10" t="s">
        <v>225</v>
      </c>
      <c r="C190" s="10">
        <v>0</v>
      </c>
      <c r="D190" s="16"/>
      <c r="E190" s="16"/>
      <c r="F190" s="19"/>
      <c r="G190" s="16"/>
      <c r="H190" s="20"/>
      <c r="I190" s="20"/>
    </row>
    <row r="191" spans="1:9">
      <c r="A191">
        <v>2019</v>
      </c>
      <c r="B191" s="10" t="s">
        <v>271</v>
      </c>
      <c r="C191" s="23">
        <v>463664</v>
      </c>
      <c r="D191" s="20"/>
      <c r="E191" s="16"/>
      <c r="F191" s="19"/>
      <c r="G191" s="20"/>
      <c r="H191" s="20"/>
      <c r="I191" s="20"/>
    </row>
    <row r="192" spans="1:9">
      <c r="A192">
        <v>2019</v>
      </c>
      <c r="B192" s="10" t="s">
        <v>326</v>
      </c>
      <c r="C192" s="23">
        <v>911692</v>
      </c>
      <c r="D192" s="20"/>
      <c r="E192" s="16"/>
      <c r="F192" s="19"/>
      <c r="G192" s="20"/>
      <c r="H192" s="20"/>
      <c r="I192" s="20"/>
    </row>
    <row r="193" spans="1:9">
      <c r="A193">
        <v>2019</v>
      </c>
      <c r="B193" s="10" t="s">
        <v>116</v>
      </c>
      <c r="C193" s="23">
        <v>83779</v>
      </c>
      <c r="D193" s="20"/>
      <c r="E193" s="16"/>
      <c r="F193" s="19"/>
      <c r="G193" s="20"/>
      <c r="H193" s="20"/>
      <c r="I193" s="20"/>
    </row>
    <row r="194" spans="1:9">
      <c r="A194">
        <v>2019</v>
      </c>
      <c r="B194" s="10" t="s">
        <v>117</v>
      </c>
      <c r="C194" s="10">
        <v>0</v>
      </c>
      <c r="D194" s="16"/>
      <c r="E194" s="16"/>
      <c r="F194" s="19"/>
      <c r="G194" s="16"/>
      <c r="H194" s="20"/>
      <c r="I194" s="20"/>
    </row>
    <row r="195" spans="1:9">
      <c r="A195">
        <v>2019</v>
      </c>
      <c r="B195" s="10" t="s">
        <v>118</v>
      </c>
      <c r="C195" s="10">
        <v>0</v>
      </c>
      <c r="D195" s="16"/>
      <c r="E195" s="16"/>
      <c r="F195" s="19"/>
      <c r="G195" s="16"/>
      <c r="H195" s="20"/>
      <c r="I195" s="20"/>
    </row>
    <row r="196" spans="1:9">
      <c r="A196">
        <v>2019</v>
      </c>
      <c r="B196" s="10" t="s">
        <v>119</v>
      </c>
      <c r="C196" s="10">
        <v>0</v>
      </c>
      <c r="D196" s="16"/>
      <c r="E196" s="16"/>
      <c r="F196" s="19"/>
      <c r="G196" s="16"/>
      <c r="H196" s="20"/>
      <c r="I196" s="20"/>
    </row>
    <row r="197" spans="1:9">
      <c r="A197">
        <v>2019</v>
      </c>
      <c r="B197" s="10" t="s">
        <v>120</v>
      </c>
      <c r="C197" s="23">
        <v>216464</v>
      </c>
      <c r="D197" s="20"/>
      <c r="E197" s="16"/>
      <c r="F197" s="19"/>
      <c r="G197" s="20"/>
      <c r="H197" s="20"/>
      <c r="I197" s="20"/>
    </row>
    <row r="198" spans="1:9">
      <c r="A198">
        <v>2019</v>
      </c>
      <c r="B198" s="10" t="s">
        <v>121</v>
      </c>
      <c r="C198" s="10">
        <v>0</v>
      </c>
      <c r="D198" s="16"/>
      <c r="E198" s="16"/>
      <c r="F198" s="19"/>
      <c r="G198" s="16"/>
      <c r="H198" s="20"/>
      <c r="I198" s="20"/>
    </row>
    <row r="199" spans="1:9">
      <c r="A199">
        <v>2019</v>
      </c>
      <c r="B199" s="10" t="s">
        <v>298</v>
      </c>
      <c r="C199" s="10">
        <v>0</v>
      </c>
      <c r="D199" s="16"/>
      <c r="E199" s="16"/>
      <c r="F199" s="19"/>
      <c r="G199" s="16"/>
      <c r="H199" s="20"/>
      <c r="I199" s="20"/>
    </row>
    <row r="200" spans="1:9">
      <c r="A200">
        <v>2019</v>
      </c>
      <c r="B200" s="10" t="s">
        <v>122</v>
      </c>
      <c r="C200" s="23">
        <v>197208</v>
      </c>
      <c r="D200" s="20"/>
      <c r="E200" s="16"/>
      <c r="F200" s="19"/>
      <c r="G200" s="20"/>
      <c r="H200" s="20"/>
      <c r="I200" s="20"/>
    </row>
    <row r="201" spans="1:9">
      <c r="A201">
        <v>2019</v>
      </c>
      <c r="B201" s="10" t="s">
        <v>327</v>
      </c>
      <c r="C201" s="23">
        <v>1085796</v>
      </c>
      <c r="D201" s="20"/>
      <c r="E201" s="16"/>
      <c r="F201" s="19"/>
      <c r="G201" s="20"/>
      <c r="H201" s="20"/>
      <c r="I201" s="20"/>
    </row>
    <row r="202" spans="1:9">
      <c r="A202">
        <v>2019</v>
      </c>
      <c r="B202" s="10" t="s">
        <v>123</v>
      </c>
      <c r="C202" s="10">
        <v>0</v>
      </c>
      <c r="D202" s="16"/>
      <c r="E202" s="16"/>
      <c r="F202" s="19"/>
      <c r="G202" s="16"/>
      <c r="H202" s="20"/>
      <c r="I202" s="20"/>
    </row>
    <row r="203" spans="1:9">
      <c r="A203">
        <v>2019</v>
      </c>
      <c r="B203" s="10" t="s">
        <v>124</v>
      </c>
      <c r="C203" s="10">
        <v>0</v>
      </c>
      <c r="D203" s="16"/>
      <c r="E203" s="16"/>
      <c r="F203" s="19"/>
      <c r="G203" s="16"/>
      <c r="H203" s="20"/>
      <c r="I203" s="20"/>
    </row>
    <row r="204" spans="1:9">
      <c r="A204">
        <v>2019</v>
      </c>
      <c r="B204" s="10" t="s">
        <v>125</v>
      </c>
      <c r="C204" s="10">
        <v>0</v>
      </c>
      <c r="D204" s="16"/>
      <c r="E204" s="16"/>
      <c r="F204" s="19"/>
      <c r="G204" s="16"/>
      <c r="H204" s="20"/>
      <c r="I204" s="20"/>
    </row>
    <row r="205" spans="1:9">
      <c r="A205">
        <v>2019</v>
      </c>
      <c r="B205" s="10" t="s">
        <v>126</v>
      </c>
      <c r="C205" s="23">
        <v>352768</v>
      </c>
      <c r="D205" s="20"/>
      <c r="E205" s="16"/>
      <c r="F205" s="19"/>
      <c r="G205" s="20"/>
      <c r="H205" s="20"/>
      <c r="I205" s="20"/>
    </row>
    <row r="206" spans="1:9">
      <c r="A206">
        <v>2019</v>
      </c>
      <c r="B206" s="10" t="s">
        <v>127</v>
      </c>
      <c r="C206" s="10">
        <v>0</v>
      </c>
      <c r="D206" s="16"/>
      <c r="E206" s="16"/>
      <c r="F206" s="19"/>
      <c r="G206" s="16"/>
      <c r="H206" s="20"/>
      <c r="I206" s="20"/>
    </row>
    <row r="207" spans="1:9">
      <c r="A207">
        <v>2019</v>
      </c>
      <c r="B207" s="10" t="s">
        <v>128</v>
      </c>
      <c r="C207" s="10">
        <v>0</v>
      </c>
      <c r="D207" s="16"/>
      <c r="E207" s="16"/>
      <c r="F207" s="19"/>
      <c r="G207" s="16"/>
      <c r="H207" s="20"/>
      <c r="I207" s="20"/>
    </row>
    <row r="208" spans="1:9">
      <c r="A208">
        <v>2019</v>
      </c>
      <c r="B208" s="10" t="s">
        <v>286</v>
      </c>
      <c r="C208" s="23">
        <v>438216</v>
      </c>
      <c r="D208" s="20"/>
      <c r="E208" s="16"/>
      <c r="F208" s="19"/>
      <c r="G208" s="20"/>
      <c r="H208" s="20"/>
      <c r="I208" s="20"/>
    </row>
    <row r="209" spans="1:9">
      <c r="A209">
        <v>2019</v>
      </c>
      <c r="B209" s="10" t="s">
        <v>290</v>
      </c>
      <c r="C209" s="23">
        <v>242416</v>
      </c>
      <c r="D209" s="20"/>
      <c r="E209" s="16"/>
      <c r="F209" s="19"/>
      <c r="G209" s="20"/>
      <c r="H209" s="20"/>
      <c r="I209" s="20"/>
    </row>
    <row r="210" spans="1:9">
      <c r="A210">
        <v>2019</v>
      </c>
      <c r="B210" s="10" t="s">
        <v>129</v>
      </c>
      <c r="C210" s="10">
        <v>117</v>
      </c>
      <c r="D210" s="16"/>
      <c r="E210" s="16"/>
      <c r="F210" s="19"/>
      <c r="G210" s="16"/>
      <c r="H210" s="20"/>
      <c r="I210" s="20"/>
    </row>
    <row r="211" spans="1:9">
      <c r="A211">
        <v>2019</v>
      </c>
      <c r="B211" s="10" t="s">
        <v>328</v>
      </c>
      <c r="C211" s="23">
        <v>159102</v>
      </c>
      <c r="D211" s="20"/>
      <c r="E211" s="16"/>
      <c r="F211" s="19"/>
      <c r="G211" s="20"/>
      <c r="H211" s="20"/>
      <c r="I211" s="20"/>
    </row>
    <row r="212" spans="1:9">
      <c r="A212">
        <v>2019</v>
      </c>
      <c r="B212" s="10" t="s">
        <v>130</v>
      </c>
      <c r="C212" s="23">
        <v>537890</v>
      </c>
      <c r="D212" s="20"/>
      <c r="E212" s="16"/>
      <c r="F212" s="19"/>
      <c r="G212" s="20"/>
      <c r="H212" s="20"/>
      <c r="I212" s="20"/>
    </row>
    <row r="213" spans="1:9">
      <c r="A213">
        <v>2019</v>
      </c>
      <c r="B213" s="10" t="s">
        <v>131</v>
      </c>
      <c r="C213" s="10">
        <v>0</v>
      </c>
      <c r="D213" s="16"/>
      <c r="E213" s="16"/>
      <c r="F213" s="19"/>
      <c r="G213" s="16"/>
      <c r="H213" s="20"/>
      <c r="I213" s="20"/>
    </row>
    <row r="214" spans="1:9">
      <c r="A214">
        <v>2019</v>
      </c>
      <c r="B214" s="10" t="s">
        <v>132</v>
      </c>
      <c r="C214" s="10">
        <v>0</v>
      </c>
      <c r="D214" s="16"/>
      <c r="E214" s="16"/>
      <c r="F214" s="19"/>
      <c r="G214" s="16"/>
      <c r="H214" s="20"/>
      <c r="I214" s="20"/>
    </row>
    <row r="215" spans="1:9">
      <c r="A215">
        <v>2019</v>
      </c>
      <c r="B215" s="10" t="s">
        <v>230</v>
      </c>
      <c r="C215" s="10">
        <v>0</v>
      </c>
      <c r="D215" s="16"/>
      <c r="E215" s="16"/>
      <c r="F215" s="19"/>
      <c r="G215" s="16"/>
      <c r="H215" s="20"/>
      <c r="I215" s="20"/>
    </row>
    <row r="216" spans="1:9">
      <c r="A216">
        <v>2019</v>
      </c>
      <c r="B216" s="10" t="s">
        <v>133</v>
      </c>
      <c r="C216" s="23">
        <v>3088507</v>
      </c>
      <c r="D216" s="20"/>
      <c r="E216" s="16"/>
      <c r="F216" s="19"/>
      <c r="G216" s="20"/>
      <c r="H216" s="20"/>
      <c r="I216" s="20"/>
    </row>
    <row r="217" spans="1:9">
      <c r="A217">
        <v>2019</v>
      </c>
      <c r="B217" s="10" t="s">
        <v>205</v>
      </c>
      <c r="C217" s="23">
        <v>535225</v>
      </c>
      <c r="D217" s="20"/>
      <c r="E217" s="16"/>
      <c r="F217" s="19"/>
      <c r="G217" s="20"/>
      <c r="H217" s="20"/>
      <c r="I217" s="20"/>
    </row>
    <row r="218" spans="1:9">
      <c r="A218">
        <v>2019</v>
      </c>
      <c r="B218" s="10" t="s">
        <v>283</v>
      </c>
      <c r="C218" s="10">
        <v>0</v>
      </c>
      <c r="D218" s="16"/>
      <c r="E218" s="16"/>
      <c r="F218" s="19"/>
      <c r="G218" s="16"/>
      <c r="H218" s="20"/>
      <c r="I218" s="20"/>
    </row>
    <row r="219" spans="1:9">
      <c r="A219">
        <v>2019</v>
      </c>
      <c r="B219" s="10" t="s">
        <v>206</v>
      </c>
      <c r="C219" s="10">
        <v>0</v>
      </c>
      <c r="D219" s="16"/>
      <c r="E219" s="16"/>
      <c r="F219" s="19"/>
      <c r="G219" s="16"/>
      <c r="H219" s="20"/>
      <c r="I219" s="20"/>
    </row>
    <row r="220" spans="1:9">
      <c r="A220">
        <v>2019</v>
      </c>
      <c r="B220" s="10" t="s">
        <v>134</v>
      </c>
      <c r="C220" s="23">
        <v>334377</v>
      </c>
      <c r="D220" s="20"/>
      <c r="E220" s="16"/>
      <c r="F220" s="19"/>
      <c r="G220" s="20"/>
      <c r="H220" s="20"/>
      <c r="I220" s="20"/>
    </row>
    <row r="221" spans="1:9">
      <c r="A221">
        <v>2019</v>
      </c>
      <c r="B221" s="10" t="s">
        <v>138</v>
      </c>
      <c r="C221" s="10">
        <v>0</v>
      </c>
      <c r="D221" s="16"/>
      <c r="E221" s="16"/>
      <c r="F221" s="19"/>
      <c r="G221" s="16"/>
      <c r="H221" s="20"/>
      <c r="I221" s="20"/>
    </row>
    <row r="222" spans="1:9">
      <c r="A222">
        <v>2019</v>
      </c>
      <c r="B222" s="10" t="s">
        <v>139</v>
      </c>
      <c r="C222" s="23">
        <v>204874</v>
      </c>
      <c r="D222" s="20"/>
      <c r="E222" s="16"/>
      <c r="F222" s="19"/>
      <c r="G222" s="20"/>
      <c r="H222" s="20"/>
      <c r="I222" s="20"/>
    </row>
    <row r="223" spans="1:9">
      <c r="A223">
        <v>2019</v>
      </c>
      <c r="B223" s="10" t="s">
        <v>140</v>
      </c>
      <c r="C223" s="23">
        <v>138305</v>
      </c>
      <c r="D223" s="20"/>
      <c r="E223" s="16"/>
      <c r="F223" s="19"/>
      <c r="G223" s="20"/>
      <c r="H223" s="20"/>
      <c r="I223" s="20"/>
    </row>
    <row r="224" spans="1:9">
      <c r="A224">
        <v>2019</v>
      </c>
      <c r="B224" s="10" t="s">
        <v>141</v>
      </c>
      <c r="C224" s="10">
        <v>0</v>
      </c>
      <c r="D224" s="16"/>
      <c r="E224" s="16"/>
      <c r="F224" s="19"/>
      <c r="G224" s="16"/>
      <c r="H224" s="20"/>
      <c r="I224" s="20"/>
    </row>
    <row r="225" spans="1:9">
      <c r="A225">
        <v>2019</v>
      </c>
      <c r="B225" s="10" t="s">
        <v>142</v>
      </c>
      <c r="C225" s="23">
        <v>251345</v>
      </c>
      <c r="D225" s="20"/>
      <c r="E225" s="16"/>
      <c r="F225" s="19"/>
      <c r="G225" s="20"/>
      <c r="H225" s="20"/>
      <c r="I225" s="20"/>
    </row>
    <row r="226" spans="1:9">
      <c r="A226">
        <v>2019</v>
      </c>
      <c r="B226" s="10" t="s">
        <v>143</v>
      </c>
      <c r="C226" s="10">
        <v>0</v>
      </c>
      <c r="D226" s="16"/>
      <c r="E226" s="16"/>
      <c r="F226" s="19"/>
      <c r="G226" s="16"/>
      <c r="H226" s="20"/>
      <c r="I226" s="20"/>
    </row>
    <row r="227" spans="1:9">
      <c r="A227">
        <v>2019</v>
      </c>
      <c r="B227" s="10" t="s">
        <v>144</v>
      </c>
      <c r="C227" s="10">
        <v>0</v>
      </c>
      <c r="D227" s="16"/>
      <c r="E227" s="16"/>
      <c r="F227" s="19"/>
      <c r="G227" s="16"/>
      <c r="H227" s="20"/>
      <c r="I227" s="20"/>
    </row>
    <row r="228" spans="1:9">
      <c r="A228">
        <v>2019</v>
      </c>
      <c r="B228" s="10" t="s">
        <v>145</v>
      </c>
      <c r="C228" s="10">
        <v>0</v>
      </c>
      <c r="D228" s="16"/>
      <c r="E228" s="16"/>
      <c r="F228" s="19"/>
      <c r="G228" s="16"/>
      <c r="H228" s="20"/>
      <c r="I228" s="20"/>
    </row>
    <row r="229" spans="1:9">
      <c r="A229">
        <v>2019</v>
      </c>
      <c r="B229" s="10" t="s">
        <v>329</v>
      </c>
      <c r="C229" s="23">
        <v>1010680</v>
      </c>
      <c r="D229" s="20"/>
      <c r="E229" s="16"/>
      <c r="F229" s="19"/>
      <c r="G229" s="20"/>
      <c r="H229" s="20"/>
      <c r="I229" s="20"/>
    </row>
    <row r="230" spans="1:9">
      <c r="A230">
        <v>2019</v>
      </c>
      <c r="B230" s="10" t="s">
        <v>146</v>
      </c>
      <c r="C230" s="23">
        <v>3709587</v>
      </c>
      <c r="D230" s="20"/>
      <c r="E230" s="16"/>
      <c r="F230" s="19"/>
      <c r="G230" s="20"/>
      <c r="H230" s="20"/>
      <c r="I230" s="20"/>
    </row>
    <row r="231" spans="1:9">
      <c r="A231">
        <v>2019</v>
      </c>
      <c r="B231" s="10" t="s">
        <v>147</v>
      </c>
      <c r="C231" s="23">
        <v>137327</v>
      </c>
      <c r="D231" s="20"/>
      <c r="E231" s="16"/>
      <c r="F231" s="19"/>
      <c r="G231" s="20"/>
      <c r="H231" s="20"/>
      <c r="I231" s="20"/>
    </row>
    <row r="232" spans="1:9">
      <c r="A232">
        <v>2019</v>
      </c>
      <c r="B232" s="10" t="s">
        <v>330</v>
      </c>
      <c r="C232" s="23">
        <v>110747</v>
      </c>
      <c r="D232" s="20"/>
      <c r="E232" s="16"/>
      <c r="F232" s="19"/>
      <c r="G232" s="20"/>
      <c r="H232" s="20"/>
      <c r="I232" s="20"/>
    </row>
    <row r="233" spans="1:9">
      <c r="A233">
        <v>2019</v>
      </c>
      <c r="B233" s="10" t="s">
        <v>288</v>
      </c>
      <c r="C233" s="23">
        <v>213030</v>
      </c>
      <c r="D233" s="20"/>
      <c r="E233" s="16"/>
      <c r="F233" s="19"/>
      <c r="G233" s="20"/>
      <c r="H233" s="20"/>
      <c r="I233" s="20"/>
    </row>
    <row r="234" spans="1:9">
      <c r="A234">
        <v>2019</v>
      </c>
      <c r="B234" s="10" t="s">
        <v>266</v>
      </c>
      <c r="C234" s="23">
        <v>997710</v>
      </c>
      <c r="D234" s="20"/>
      <c r="E234" s="16"/>
      <c r="F234" s="19"/>
      <c r="G234" s="20"/>
      <c r="H234" s="20"/>
      <c r="I234" s="20"/>
    </row>
    <row r="235" spans="1:9">
      <c r="A235">
        <v>2019</v>
      </c>
      <c r="B235" s="10" t="s">
        <v>267</v>
      </c>
      <c r="C235" s="23">
        <v>265690</v>
      </c>
      <c r="D235" s="20"/>
      <c r="E235" s="16"/>
      <c r="F235" s="19"/>
      <c r="G235" s="20"/>
      <c r="H235" s="20"/>
      <c r="I235" s="20"/>
    </row>
    <row r="236" spans="1:9">
      <c r="A236">
        <v>2019</v>
      </c>
      <c r="B236" s="10" t="s">
        <v>284</v>
      </c>
      <c r="C236" s="23">
        <v>858549</v>
      </c>
      <c r="D236" s="20"/>
      <c r="E236" s="16"/>
      <c r="F236" s="19"/>
      <c r="G236" s="20"/>
      <c r="H236" s="20"/>
      <c r="I236" s="20"/>
    </row>
    <row r="237" spans="1:9">
      <c r="A237">
        <v>2019</v>
      </c>
      <c r="B237" s="10" t="s">
        <v>148</v>
      </c>
      <c r="C237" s="23">
        <v>1612820</v>
      </c>
      <c r="D237" s="20"/>
      <c r="E237" s="16"/>
      <c r="F237" s="19"/>
      <c r="G237" s="20"/>
      <c r="H237" s="20"/>
      <c r="I237" s="20"/>
    </row>
    <row r="238" spans="1:9">
      <c r="A238">
        <v>2019</v>
      </c>
      <c r="B238" s="10" t="s">
        <v>135</v>
      </c>
      <c r="C238" s="10">
        <v>0</v>
      </c>
      <c r="D238" s="16"/>
      <c r="E238" s="16"/>
      <c r="F238" s="19"/>
      <c r="G238" s="16"/>
      <c r="H238" s="20"/>
      <c r="I238" s="20"/>
    </row>
    <row r="239" spans="1:9">
      <c r="A239">
        <v>2019</v>
      </c>
      <c r="B239" s="10" t="s">
        <v>136</v>
      </c>
      <c r="C239" s="10">
        <v>0</v>
      </c>
      <c r="D239" s="16"/>
      <c r="E239" s="16"/>
      <c r="F239" s="19"/>
      <c r="G239" s="16"/>
      <c r="H239" s="20"/>
      <c r="I239" s="20"/>
    </row>
    <row r="240" spans="1:9">
      <c r="A240">
        <v>2019</v>
      </c>
      <c r="B240" s="10" t="s">
        <v>199</v>
      </c>
      <c r="C240" s="23">
        <v>962795</v>
      </c>
      <c r="D240" s="20"/>
      <c r="E240" s="16"/>
      <c r="F240" s="19"/>
      <c r="G240" s="20"/>
      <c r="H240" s="20"/>
      <c r="I240" s="20"/>
    </row>
    <row r="241" spans="1:9">
      <c r="A241">
        <v>2019</v>
      </c>
      <c r="B241" s="10" t="s">
        <v>137</v>
      </c>
      <c r="C241" s="23">
        <v>816678</v>
      </c>
      <c r="D241" s="20"/>
      <c r="E241" s="16"/>
      <c r="F241" s="19"/>
      <c r="G241" s="20"/>
      <c r="H241" s="20"/>
      <c r="I241" s="20"/>
    </row>
    <row r="242" spans="1:9">
      <c r="A242">
        <v>2019</v>
      </c>
      <c r="B242" s="10" t="s">
        <v>149</v>
      </c>
      <c r="C242" s="23">
        <v>80043</v>
      </c>
      <c r="D242" s="20"/>
      <c r="E242" s="16"/>
      <c r="F242" s="19"/>
      <c r="G242" s="20"/>
      <c r="H242" s="20"/>
      <c r="I242" s="20"/>
    </row>
    <row r="243" spans="1:9">
      <c r="A243">
        <v>2019</v>
      </c>
      <c r="B243" s="10" t="s">
        <v>150</v>
      </c>
      <c r="C243" s="10">
        <v>0</v>
      </c>
      <c r="D243" s="16"/>
      <c r="E243" s="16"/>
      <c r="F243" s="19"/>
      <c r="G243" s="16"/>
      <c r="H243" s="20"/>
      <c r="I243" s="20"/>
    </row>
    <row r="244" spans="1:9">
      <c r="A244">
        <v>2019</v>
      </c>
      <c r="B244" s="10" t="s">
        <v>269</v>
      </c>
      <c r="C244" s="10">
        <v>0</v>
      </c>
      <c r="D244" s="16"/>
      <c r="E244" s="16"/>
      <c r="F244" s="19"/>
      <c r="G244" s="16"/>
      <c r="H244" s="20"/>
      <c r="I244" s="20"/>
    </row>
    <row r="245" spans="1:9">
      <c r="A245">
        <v>2019</v>
      </c>
      <c r="B245" s="10" t="s">
        <v>151</v>
      </c>
      <c r="C245" s="23">
        <v>829622</v>
      </c>
      <c r="D245" s="20"/>
      <c r="E245" s="16"/>
      <c r="F245" s="19"/>
      <c r="G245" s="20"/>
      <c r="H245" s="20"/>
      <c r="I245" s="20"/>
    </row>
    <row r="246" spans="1:9">
      <c r="A246">
        <v>2019</v>
      </c>
      <c r="B246" s="10" t="s">
        <v>152</v>
      </c>
      <c r="C246" s="23">
        <v>124074</v>
      </c>
      <c r="D246" s="20"/>
      <c r="E246" s="16"/>
      <c r="F246" s="19"/>
      <c r="G246" s="20"/>
      <c r="H246" s="20"/>
      <c r="I246" s="20"/>
    </row>
    <row r="247" spans="1:9">
      <c r="A247">
        <v>2019</v>
      </c>
      <c r="B247" s="10" t="s">
        <v>153</v>
      </c>
      <c r="C247" s="10">
        <v>0</v>
      </c>
      <c r="D247" s="16"/>
      <c r="E247" s="16"/>
      <c r="F247" s="19"/>
      <c r="G247" s="16"/>
      <c r="H247" s="20"/>
      <c r="I247" s="20"/>
    </row>
    <row r="248" spans="1:9">
      <c r="A248">
        <v>2019</v>
      </c>
      <c r="B248" s="10" t="s">
        <v>154</v>
      </c>
      <c r="C248" s="10">
        <v>0</v>
      </c>
      <c r="D248" s="16"/>
      <c r="E248" s="16"/>
      <c r="F248" s="19"/>
      <c r="G248" s="16"/>
      <c r="H248" s="20"/>
      <c r="I248" s="20"/>
    </row>
    <row r="249" spans="1:9">
      <c r="A249">
        <v>2019</v>
      </c>
      <c r="B249" s="10" t="s">
        <v>155</v>
      </c>
      <c r="C249" s="10">
        <v>0</v>
      </c>
      <c r="D249" s="16"/>
      <c r="E249" s="16"/>
      <c r="F249" s="19"/>
      <c r="G249" s="16"/>
      <c r="H249" s="20"/>
      <c r="I249" s="20"/>
    </row>
    <row r="250" spans="1:9">
      <c r="A250">
        <v>2019</v>
      </c>
      <c r="B250" s="10" t="s">
        <v>156</v>
      </c>
      <c r="C250" s="23">
        <v>493981</v>
      </c>
      <c r="D250" s="20"/>
      <c r="E250" s="16"/>
      <c r="F250" s="19"/>
      <c r="G250" s="20"/>
      <c r="H250" s="20"/>
      <c r="I250" s="20"/>
    </row>
    <row r="251" spans="1:9">
      <c r="A251">
        <v>2019</v>
      </c>
      <c r="B251" s="10" t="s">
        <v>331</v>
      </c>
      <c r="C251" s="23">
        <v>1107642</v>
      </c>
      <c r="D251" s="20"/>
      <c r="E251" s="16"/>
      <c r="F251" s="19"/>
      <c r="G251" s="20"/>
      <c r="H251" s="20"/>
      <c r="I251" s="20"/>
    </row>
    <row r="252" spans="1:9">
      <c r="A252">
        <v>2019</v>
      </c>
      <c r="B252" s="10" t="s">
        <v>200</v>
      </c>
      <c r="C252" s="23">
        <v>410351</v>
      </c>
      <c r="D252" s="20"/>
      <c r="E252" s="16"/>
      <c r="F252" s="19"/>
      <c r="G252" s="20"/>
      <c r="H252" s="20"/>
      <c r="I252" s="20"/>
    </row>
    <row r="253" spans="1:9">
      <c r="A253">
        <v>2019</v>
      </c>
      <c r="B253" s="10" t="s">
        <v>157</v>
      </c>
      <c r="C253" s="23">
        <v>208817</v>
      </c>
      <c r="D253" s="20"/>
      <c r="E253" s="16"/>
      <c r="F253" s="19"/>
      <c r="G253" s="20"/>
      <c r="H253" s="20"/>
      <c r="I253" s="20"/>
    </row>
    <row r="254" spans="1:9">
      <c r="A254">
        <v>2019</v>
      </c>
      <c r="B254" s="10" t="s">
        <v>158</v>
      </c>
      <c r="C254" s="10">
        <v>0</v>
      </c>
      <c r="D254" s="16"/>
      <c r="E254" s="16"/>
      <c r="F254" s="19"/>
      <c r="G254" s="16"/>
      <c r="H254" s="20"/>
      <c r="I254" s="20"/>
    </row>
    <row r="255" spans="1:9">
      <c r="A255">
        <v>2019</v>
      </c>
      <c r="B255" s="10" t="s">
        <v>159</v>
      </c>
      <c r="C255" s="23">
        <v>66476</v>
      </c>
      <c r="D255" s="20"/>
      <c r="E255" s="16"/>
      <c r="F255" s="19"/>
      <c r="G255" s="20"/>
      <c r="H255" s="20"/>
      <c r="I255" s="20"/>
    </row>
    <row r="256" spans="1:9">
      <c r="A256">
        <v>2019</v>
      </c>
      <c r="B256" s="10" t="s">
        <v>160</v>
      </c>
      <c r="C256" s="23">
        <v>162683</v>
      </c>
      <c r="D256" s="20"/>
      <c r="E256" s="16"/>
      <c r="F256" s="19"/>
      <c r="G256" s="20"/>
      <c r="H256" s="20"/>
      <c r="I256" s="20"/>
    </row>
    <row r="257" spans="1:9">
      <c r="A257">
        <v>2019</v>
      </c>
      <c r="B257" s="10" t="s">
        <v>161</v>
      </c>
      <c r="C257" s="10">
        <v>0</v>
      </c>
      <c r="D257" s="16"/>
      <c r="E257" s="16"/>
      <c r="F257" s="19"/>
      <c r="G257" s="16"/>
      <c r="H257" s="20"/>
      <c r="I257" s="20"/>
    </row>
    <row r="258" spans="1:9">
      <c r="A258">
        <v>2019</v>
      </c>
      <c r="B258" s="10" t="s">
        <v>332</v>
      </c>
      <c r="C258" s="23">
        <v>550572</v>
      </c>
      <c r="D258" s="20"/>
      <c r="E258" s="16"/>
      <c r="F258" s="19"/>
      <c r="G258" s="20"/>
      <c r="H258" s="20"/>
      <c r="I258" s="20"/>
    </row>
    <row r="259" spans="1:9">
      <c r="A259">
        <v>2019</v>
      </c>
      <c r="B259" s="10" t="s">
        <v>224</v>
      </c>
      <c r="C259" s="23">
        <v>469345</v>
      </c>
      <c r="D259" s="20"/>
      <c r="E259" s="16"/>
      <c r="F259" s="19"/>
      <c r="G259" s="20"/>
      <c r="H259" s="20"/>
      <c r="I259" s="20"/>
    </row>
    <row r="260" spans="1:9">
      <c r="A260">
        <v>2019</v>
      </c>
      <c r="B260" s="10" t="s">
        <v>251</v>
      </c>
      <c r="C260" s="23">
        <v>354199</v>
      </c>
      <c r="D260" s="20"/>
      <c r="E260" s="16"/>
      <c r="F260" s="19"/>
      <c r="G260" s="20"/>
      <c r="H260" s="20"/>
      <c r="I260" s="20"/>
    </row>
    <row r="261" spans="1:9">
      <c r="A261">
        <v>2019</v>
      </c>
      <c r="B261" s="10" t="s">
        <v>162</v>
      </c>
      <c r="C261" s="10">
        <v>0</v>
      </c>
      <c r="D261" s="16"/>
      <c r="E261" s="16"/>
      <c r="F261" s="19"/>
      <c r="G261" s="16"/>
      <c r="H261" s="20"/>
      <c r="I261" s="20"/>
    </row>
    <row r="262" spans="1:9">
      <c r="A262">
        <v>2019</v>
      </c>
      <c r="B262" s="10" t="s">
        <v>163</v>
      </c>
      <c r="C262" s="10">
        <v>0</v>
      </c>
      <c r="D262" s="16"/>
      <c r="E262" s="16"/>
      <c r="F262" s="19"/>
      <c r="G262" s="16"/>
      <c r="H262" s="20"/>
      <c r="I262" s="20"/>
    </row>
    <row r="263" spans="1:9">
      <c r="A263">
        <v>2019</v>
      </c>
      <c r="B263" s="10" t="s">
        <v>244</v>
      </c>
      <c r="C263" s="10">
        <v>0</v>
      </c>
      <c r="D263" s="16"/>
      <c r="E263" s="16"/>
      <c r="F263" s="19"/>
      <c r="G263" s="16"/>
      <c r="H263" s="20"/>
      <c r="I263" s="20"/>
    </row>
    <row r="264" spans="1:9">
      <c r="A264">
        <v>2019</v>
      </c>
      <c r="B264" s="10" t="s">
        <v>268</v>
      </c>
      <c r="C264" s="23">
        <v>393791</v>
      </c>
      <c r="D264" s="20"/>
      <c r="E264" s="16"/>
      <c r="F264" s="19"/>
      <c r="G264" s="20"/>
      <c r="H264" s="20"/>
      <c r="I264" s="20"/>
    </row>
    <row r="265" spans="1:9">
      <c r="A265">
        <v>2019</v>
      </c>
      <c r="B265" s="10" t="s">
        <v>257</v>
      </c>
      <c r="C265" s="10">
        <v>0</v>
      </c>
      <c r="D265" s="16"/>
      <c r="E265" s="16"/>
      <c r="F265" s="19"/>
      <c r="G265" s="16"/>
      <c r="H265" s="20"/>
      <c r="I265" s="20"/>
    </row>
    <row r="266" spans="1:9">
      <c r="A266">
        <v>2019</v>
      </c>
      <c r="B266" s="10" t="s">
        <v>272</v>
      </c>
      <c r="C266" s="23">
        <v>833438</v>
      </c>
      <c r="D266" s="20"/>
      <c r="E266" s="16"/>
      <c r="F266" s="19"/>
      <c r="G266" s="20"/>
      <c r="H266" s="20"/>
      <c r="I266" s="20"/>
    </row>
    <row r="267" spans="1:9">
      <c r="A267">
        <v>2019</v>
      </c>
      <c r="B267" s="10" t="s">
        <v>274</v>
      </c>
      <c r="C267" s="23">
        <v>221570</v>
      </c>
      <c r="D267" s="20"/>
      <c r="E267" s="16"/>
      <c r="F267" s="19"/>
      <c r="G267" s="20"/>
      <c r="H267" s="20"/>
      <c r="I267" s="20"/>
    </row>
    <row r="268" spans="1:9">
      <c r="A268">
        <v>2019</v>
      </c>
      <c r="B268" s="10" t="s">
        <v>273</v>
      </c>
      <c r="C268" s="10">
        <v>0</v>
      </c>
      <c r="D268" s="16"/>
      <c r="E268" s="16"/>
      <c r="F268" s="19"/>
      <c r="G268" s="16"/>
      <c r="H268" s="20"/>
      <c r="I268" s="20"/>
    </row>
    <row r="269" spans="1:9">
      <c r="A269">
        <v>2019</v>
      </c>
      <c r="B269" s="10" t="s">
        <v>278</v>
      </c>
      <c r="C269" s="10">
        <v>0</v>
      </c>
      <c r="D269" s="16"/>
      <c r="E269" s="16"/>
      <c r="F269" s="19"/>
      <c r="G269" s="16"/>
      <c r="H269" s="20"/>
      <c r="I269" s="20"/>
    </row>
    <row r="270" spans="1:9">
      <c r="A270">
        <v>2019</v>
      </c>
      <c r="B270" s="10" t="s">
        <v>279</v>
      </c>
      <c r="C270" s="10">
        <v>0</v>
      </c>
      <c r="D270" s="16"/>
      <c r="E270" s="16"/>
      <c r="F270" s="19"/>
      <c r="G270" s="16"/>
      <c r="H270" s="20"/>
      <c r="I270" s="20"/>
    </row>
    <row r="271" spans="1:9">
      <c r="A271">
        <v>2019</v>
      </c>
      <c r="B271" s="10" t="s">
        <v>280</v>
      </c>
      <c r="C271" s="23">
        <v>968813</v>
      </c>
      <c r="D271" s="20"/>
      <c r="E271" s="16"/>
      <c r="F271" s="19"/>
      <c r="G271" s="20"/>
      <c r="H271" s="20"/>
      <c r="I271" s="20"/>
    </row>
    <row r="272" spans="1:9">
      <c r="A272">
        <v>2019</v>
      </c>
      <c r="B272" s="10" t="s">
        <v>115</v>
      </c>
      <c r="C272" s="10">
        <v>0</v>
      </c>
      <c r="D272" s="16"/>
      <c r="E272" s="16"/>
      <c r="F272" s="19"/>
      <c r="G272" s="16"/>
      <c r="H272" s="20"/>
      <c r="I272" s="20"/>
    </row>
    <row r="273" spans="1:9">
      <c r="A273">
        <v>2019</v>
      </c>
      <c r="B273" s="10" t="s">
        <v>216</v>
      </c>
      <c r="C273" s="10">
        <v>0</v>
      </c>
      <c r="D273" s="16"/>
      <c r="E273" s="16"/>
      <c r="F273" s="19"/>
      <c r="G273" s="16"/>
      <c r="H273" s="20"/>
      <c r="I273" s="20"/>
    </row>
    <row r="274" spans="1:9">
      <c r="A274">
        <v>2019</v>
      </c>
      <c r="B274" s="10" t="s">
        <v>213</v>
      </c>
      <c r="C274" s="23">
        <v>28401</v>
      </c>
      <c r="D274" s="20"/>
      <c r="E274" s="16"/>
      <c r="F274" s="19"/>
      <c r="G274" s="20"/>
      <c r="H274" s="20"/>
      <c r="I274" s="20"/>
    </row>
    <row r="275" spans="1:9">
      <c r="A275">
        <v>2019</v>
      </c>
      <c r="B275" s="10" t="s">
        <v>164</v>
      </c>
      <c r="C275" s="10">
        <v>0</v>
      </c>
      <c r="D275" s="16"/>
      <c r="E275" s="16"/>
      <c r="F275" s="19"/>
      <c r="G275" s="16"/>
      <c r="H275" s="20"/>
      <c r="I275" s="20"/>
    </row>
    <row r="276" spans="1:9">
      <c r="A276">
        <v>2019</v>
      </c>
      <c r="B276" s="10" t="s">
        <v>221</v>
      </c>
      <c r="C276" s="10">
        <v>0</v>
      </c>
      <c r="D276" s="16"/>
      <c r="E276" s="16"/>
      <c r="F276" s="19"/>
      <c r="G276" s="16"/>
      <c r="H276" s="20"/>
      <c r="I276" s="20"/>
    </row>
    <row r="277" spans="1:9">
      <c r="A277">
        <v>2019</v>
      </c>
      <c r="B277" s="10" t="s">
        <v>165</v>
      </c>
      <c r="C277" s="23">
        <v>189936</v>
      </c>
      <c r="D277" s="20"/>
      <c r="E277" s="16"/>
      <c r="F277" s="19"/>
      <c r="G277" s="20"/>
      <c r="H277" s="20"/>
      <c r="I277" s="20"/>
    </row>
    <row r="278" spans="1:9">
      <c r="A278">
        <v>2019</v>
      </c>
      <c r="B278" s="10" t="s">
        <v>166</v>
      </c>
      <c r="C278" s="10">
        <v>0</v>
      </c>
      <c r="D278" s="16"/>
      <c r="E278" s="16"/>
      <c r="F278" s="19"/>
      <c r="G278" s="16"/>
      <c r="H278" s="20"/>
      <c r="I278" s="20"/>
    </row>
    <row r="279" spans="1:9">
      <c r="A279">
        <v>2019</v>
      </c>
      <c r="B279" s="10" t="s">
        <v>167</v>
      </c>
      <c r="C279" s="10">
        <v>0</v>
      </c>
      <c r="D279" s="16"/>
      <c r="E279" s="16"/>
      <c r="F279" s="19"/>
      <c r="G279" s="16"/>
      <c r="H279" s="20"/>
      <c r="I279" s="20"/>
    </row>
    <row r="280" spans="1:9">
      <c r="A280">
        <v>2019</v>
      </c>
      <c r="B280" s="10" t="s">
        <v>168</v>
      </c>
      <c r="C280" s="10">
        <v>0</v>
      </c>
      <c r="D280" s="16"/>
      <c r="E280" s="16"/>
      <c r="F280" s="19"/>
      <c r="G280" s="16"/>
      <c r="H280" s="20"/>
      <c r="I280" s="20"/>
    </row>
    <row r="281" spans="1:9">
      <c r="A281">
        <v>2019</v>
      </c>
      <c r="B281" s="10" t="s">
        <v>169</v>
      </c>
      <c r="C281" s="23">
        <v>41917</v>
      </c>
      <c r="D281" s="20"/>
      <c r="E281" s="16"/>
      <c r="F281" s="19"/>
      <c r="G281" s="20"/>
      <c r="H281" s="20"/>
      <c r="I281" s="20"/>
    </row>
    <row r="282" spans="1:9">
      <c r="A282">
        <v>2019</v>
      </c>
      <c r="B282" s="10" t="s">
        <v>170</v>
      </c>
      <c r="C282" s="10">
        <v>0</v>
      </c>
      <c r="D282" s="16"/>
      <c r="E282" s="16"/>
      <c r="F282" s="19"/>
      <c r="G282" s="16"/>
      <c r="H282" s="20"/>
      <c r="I282" s="20"/>
    </row>
    <row r="283" spans="1:9">
      <c r="A283">
        <v>2019</v>
      </c>
      <c r="B283" s="10" t="s">
        <v>275</v>
      </c>
      <c r="C283" s="23">
        <v>434551</v>
      </c>
      <c r="D283" s="20"/>
      <c r="E283" s="16"/>
      <c r="F283" s="19"/>
      <c r="G283" s="20"/>
      <c r="H283" s="20"/>
      <c r="I283" s="20"/>
    </row>
    <row r="284" spans="1:9">
      <c r="A284">
        <v>2019</v>
      </c>
      <c r="B284" s="10" t="s">
        <v>211</v>
      </c>
      <c r="C284" s="23">
        <v>148519</v>
      </c>
      <c r="D284" s="20"/>
      <c r="E284" s="16"/>
      <c r="F284" s="19"/>
      <c r="G284" s="20"/>
      <c r="H284" s="20"/>
      <c r="I284" s="20"/>
    </row>
    <row r="285" spans="1:9">
      <c r="A285">
        <v>2019</v>
      </c>
      <c r="B285" s="10" t="s">
        <v>171</v>
      </c>
      <c r="C285" s="10">
        <v>0</v>
      </c>
      <c r="D285" s="16"/>
      <c r="E285" s="16"/>
      <c r="F285" s="19"/>
      <c r="G285" s="16"/>
      <c r="H285" s="20"/>
      <c r="I285" s="20"/>
    </row>
    <row r="286" spans="1:9">
      <c r="A286">
        <v>2019</v>
      </c>
      <c r="B286" s="10" t="s">
        <v>245</v>
      </c>
      <c r="C286" s="10">
        <v>0</v>
      </c>
      <c r="D286" s="16"/>
      <c r="E286" s="16"/>
      <c r="F286" s="19"/>
      <c r="G286" s="16"/>
      <c r="H286" s="20"/>
      <c r="I286" s="20"/>
    </row>
    <row r="287" spans="1:9">
      <c r="A287">
        <v>2019</v>
      </c>
      <c r="B287" s="10" t="s">
        <v>256</v>
      </c>
      <c r="C287" s="10">
        <v>0</v>
      </c>
      <c r="D287" s="16"/>
      <c r="E287" s="16"/>
      <c r="F287" s="19"/>
      <c r="G287" s="16"/>
      <c r="H287" s="20"/>
      <c r="I287" s="20"/>
    </row>
    <row r="288" spans="1:9">
      <c r="A288">
        <v>2019</v>
      </c>
      <c r="B288" s="10" t="s">
        <v>172</v>
      </c>
      <c r="C288" s="10">
        <v>0</v>
      </c>
      <c r="D288" s="16"/>
      <c r="E288" s="16"/>
      <c r="F288" s="19"/>
      <c r="G288" s="16"/>
      <c r="H288" s="20"/>
      <c r="I288" s="20"/>
    </row>
    <row r="289" spans="1:9">
      <c r="A289">
        <v>2019</v>
      </c>
      <c r="B289" s="10" t="s">
        <v>173</v>
      </c>
      <c r="C289" s="10">
        <v>0</v>
      </c>
      <c r="D289" s="16"/>
      <c r="E289" s="16"/>
      <c r="F289" s="19"/>
      <c r="G289" s="16"/>
      <c r="H289" s="20"/>
      <c r="I289" s="20"/>
    </row>
    <row r="290" spans="1:9">
      <c r="A290">
        <v>2019</v>
      </c>
      <c r="B290" s="10" t="s">
        <v>174</v>
      </c>
      <c r="C290" s="10">
        <v>0</v>
      </c>
      <c r="D290" s="16"/>
      <c r="E290" s="16"/>
      <c r="F290" s="19"/>
      <c r="G290" s="16"/>
      <c r="H290" s="20"/>
      <c r="I290" s="20"/>
    </row>
    <row r="291" spans="1:9">
      <c r="A291">
        <v>2019</v>
      </c>
      <c r="B291" s="10" t="s">
        <v>175</v>
      </c>
      <c r="C291" s="23">
        <v>210269</v>
      </c>
      <c r="D291" s="20"/>
      <c r="E291" s="16"/>
      <c r="F291" s="19"/>
      <c r="G291" s="20"/>
      <c r="H291" s="20"/>
      <c r="I291" s="20"/>
    </row>
    <row r="292" spans="1:9">
      <c r="A292">
        <v>2019</v>
      </c>
      <c r="B292" s="10" t="s">
        <v>176</v>
      </c>
      <c r="C292" s="10">
        <v>0</v>
      </c>
      <c r="D292" s="16"/>
      <c r="E292" s="16"/>
      <c r="F292" s="19"/>
      <c r="G292" s="16"/>
      <c r="H292" s="20"/>
      <c r="I292" s="20"/>
    </row>
    <row r="293" spans="1:9">
      <c r="A293">
        <v>2019</v>
      </c>
      <c r="B293" s="10" t="s">
        <v>333</v>
      </c>
      <c r="C293" s="23">
        <v>175574</v>
      </c>
      <c r="D293" s="20"/>
      <c r="E293" s="16"/>
      <c r="F293" s="19"/>
      <c r="G293" s="20"/>
      <c r="H293" s="20"/>
      <c r="I293" s="20"/>
    </row>
    <row r="294" spans="1:9">
      <c r="A294">
        <v>2019</v>
      </c>
      <c r="B294" s="10" t="s">
        <v>177</v>
      </c>
      <c r="C294" s="10">
        <v>0</v>
      </c>
      <c r="D294" s="16"/>
      <c r="E294" s="16"/>
      <c r="F294" s="19"/>
      <c r="G294" s="16"/>
      <c r="H294" s="20"/>
      <c r="I294" s="20"/>
    </row>
    <row r="295" spans="1:9">
      <c r="A295">
        <v>2019</v>
      </c>
      <c r="B295" s="10" t="s">
        <v>178</v>
      </c>
      <c r="C295" s="23">
        <v>96478</v>
      </c>
      <c r="D295" s="20"/>
      <c r="E295" s="16"/>
      <c r="F295" s="19"/>
      <c r="G295" s="20"/>
      <c r="H295" s="20"/>
      <c r="I295" s="20"/>
    </row>
    <row r="296" spans="1:9">
      <c r="A296">
        <v>2019</v>
      </c>
      <c r="B296" s="10" t="s">
        <v>179</v>
      </c>
      <c r="C296" s="10">
        <v>0</v>
      </c>
      <c r="D296" s="16"/>
      <c r="E296" s="16"/>
      <c r="F296" s="19"/>
      <c r="G296" s="16"/>
      <c r="H296" s="20"/>
      <c r="I296" s="20"/>
    </row>
    <row r="297" spans="1:9">
      <c r="A297">
        <v>2019</v>
      </c>
      <c r="B297" s="10" t="s">
        <v>180</v>
      </c>
      <c r="C297" s="23">
        <v>190868</v>
      </c>
      <c r="D297" s="20"/>
      <c r="E297" s="16"/>
      <c r="F297" s="19"/>
      <c r="G297" s="20"/>
      <c r="H297" s="20"/>
      <c r="I297" s="20"/>
    </row>
    <row r="298" spans="1:9">
      <c r="A298">
        <v>2019</v>
      </c>
      <c r="B298" s="10" t="s">
        <v>181</v>
      </c>
      <c r="C298" s="10">
        <v>0</v>
      </c>
      <c r="D298" s="16"/>
      <c r="E298" s="16"/>
      <c r="F298" s="19"/>
      <c r="G298" s="16"/>
      <c r="H298" s="20"/>
      <c r="I298" s="20"/>
    </row>
    <row r="299" spans="1:9">
      <c r="A299">
        <v>2019</v>
      </c>
      <c r="B299" s="10" t="s">
        <v>287</v>
      </c>
      <c r="C299" s="10">
        <v>0</v>
      </c>
      <c r="D299" s="16"/>
      <c r="E299" s="16"/>
      <c r="F299" s="19"/>
      <c r="G299" s="16"/>
      <c r="H299" s="20"/>
      <c r="I299" s="20"/>
    </row>
    <row r="300" spans="1:9">
      <c r="A300">
        <v>2019</v>
      </c>
      <c r="B300" s="10" t="s">
        <v>334</v>
      </c>
      <c r="C300" s="23">
        <v>681278</v>
      </c>
      <c r="D300" s="20"/>
      <c r="E300" s="16"/>
      <c r="F300" s="19"/>
      <c r="G300" s="20"/>
      <c r="H300" s="20"/>
      <c r="I300" s="20"/>
    </row>
    <row r="301" spans="1:9">
      <c r="A301">
        <v>2019</v>
      </c>
      <c r="B301" s="10" t="s">
        <v>305</v>
      </c>
      <c r="C301" s="23">
        <v>336374</v>
      </c>
      <c r="D301" s="20"/>
      <c r="E301" s="16"/>
      <c r="F301" s="19"/>
      <c r="G301" s="20"/>
      <c r="H301" s="20"/>
      <c r="I301" s="20"/>
    </row>
    <row r="302" spans="1:9">
      <c r="A302">
        <v>2019</v>
      </c>
      <c r="B302" s="10" t="s">
        <v>182</v>
      </c>
      <c r="C302" s="10">
        <v>0</v>
      </c>
      <c r="D302" s="16"/>
      <c r="E302" s="16"/>
      <c r="F302" s="19"/>
      <c r="G302" s="16"/>
      <c r="H302" s="20"/>
      <c r="I302" s="20"/>
    </row>
    <row r="303" spans="1:9">
      <c r="A303">
        <v>2019</v>
      </c>
      <c r="B303" s="10" t="s">
        <v>183</v>
      </c>
      <c r="C303" s="10">
        <v>0</v>
      </c>
      <c r="D303" s="16"/>
      <c r="E303" s="16"/>
      <c r="F303" s="19"/>
      <c r="G303" s="16"/>
      <c r="H303" s="20"/>
      <c r="I303" s="20"/>
    </row>
    <row r="304" spans="1:9">
      <c r="A304">
        <v>2019</v>
      </c>
      <c r="B304" s="10" t="s">
        <v>185</v>
      </c>
      <c r="C304" s="10">
        <v>0</v>
      </c>
      <c r="D304" s="16"/>
      <c r="E304" s="16"/>
      <c r="F304" s="19"/>
      <c r="G304" s="16"/>
      <c r="H304" s="20"/>
      <c r="I304" s="20"/>
    </row>
    <row r="305" spans="1:9">
      <c r="A305">
        <v>2019</v>
      </c>
      <c r="B305" s="10" t="s">
        <v>184</v>
      </c>
      <c r="C305" s="10">
        <v>0</v>
      </c>
      <c r="D305" s="16"/>
      <c r="E305" s="16"/>
      <c r="F305" s="19"/>
      <c r="G305" s="16"/>
      <c r="H305" s="20"/>
      <c r="I305" s="20"/>
    </row>
    <row r="306" spans="1:9">
      <c r="A306">
        <v>2019</v>
      </c>
      <c r="B306" s="10" t="s">
        <v>186</v>
      </c>
      <c r="C306" s="10">
        <v>0</v>
      </c>
      <c r="D306" s="16"/>
      <c r="E306" s="16"/>
      <c r="F306" s="19"/>
      <c r="G306" s="16"/>
      <c r="H306" s="20"/>
      <c r="I306" s="20"/>
    </row>
    <row r="307" spans="1:9">
      <c r="A307">
        <v>2019</v>
      </c>
      <c r="B307" s="10" t="s">
        <v>187</v>
      </c>
      <c r="C307" s="10">
        <v>0</v>
      </c>
      <c r="D307" s="16"/>
      <c r="E307" s="16"/>
      <c r="F307" s="19"/>
      <c r="G307" s="16"/>
      <c r="H307" s="20"/>
      <c r="I307" s="20"/>
    </row>
    <row r="308" spans="1:9">
      <c r="A308">
        <v>2019</v>
      </c>
      <c r="B308" s="10" t="s">
        <v>276</v>
      </c>
      <c r="C308" s="23">
        <v>346344</v>
      </c>
      <c r="D308" s="20"/>
      <c r="E308" s="16"/>
      <c r="F308" s="19"/>
      <c r="G308" s="20"/>
      <c r="H308" s="20"/>
      <c r="I308" s="20"/>
    </row>
    <row r="309" spans="1:9">
      <c r="A309">
        <v>2019</v>
      </c>
      <c r="B309" s="10" t="s">
        <v>270</v>
      </c>
      <c r="C309" s="23">
        <v>592120</v>
      </c>
      <c r="D309" s="20"/>
      <c r="E309" s="16"/>
      <c r="F309" s="19"/>
      <c r="G309" s="20"/>
      <c r="H309" s="20"/>
      <c r="I309" s="20"/>
    </row>
    <row r="310" spans="1:9">
      <c r="A310">
        <v>2019</v>
      </c>
      <c r="B310" s="10" t="s">
        <v>188</v>
      </c>
      <c r="C310" s="23">
        <v>24332</v>
      </c>
      <c r="D310" s="20"/>
      <c r="E310" s="16"/>
      <c r="F310" s="19"/>
      <c r="G310" s="20"/>
      <c r="H310" s="20"/>
      <c r="I310" s="20"/>
    </row>
    <row r="311" spans="1:9">
      <c r="A311">
        <v>2019</v>
      </c>
      <c r="B311" s="10" t="s">
        <v>233</v>
      </c>
      <c r="C311" s="23">
        <v>853564</v>
      </c>
      <c r="D311" s="20"/>
      <c r="E311" s="16"/>
      <c r="F311" s="19"/>
      <c r="G311" s="20"/>
      <c r="H311" s="20"/>
      <c r="I311" s="20"/>
    </row>
    <row r="312" spans="1:9">
      <c r="A312">
        <v>2019</v>
      </c>
      <c r="B312" s="10" t="s">
        <v>277</v>
      </c>
      <c r="C312" s="23">
        <v>221340</v>
      </c>
      <c r="D312" s="20"/>
      <c r="E312" s="16"/>
      <c r="F312" s="19"/>
      <c r="G312" s="20"/>
      <c r="H312" s="20"/>
      <c r="I312" s="20"/>
    </row>
    <row r="313" spans="1:9">
      <c r="A313">
        <v>2019</v>
      </c>
      <c r="B313" s="10" t="s">
        <v>335</v>
      </c>
      <c r="C313" s="23">
        <v>1068566</v>
      </c>
      <c r="D313" s="20"/>
      <c r="E313" s="16"/>
      <c r="F313" s="19"/>
      <c r="G313" s="20"/>
      <c r="H313" s="20"/>
      <c r="I313" s="20"/>
    </row>
    <row r="314" spans="1:9">
      <c r="A314">
        <v>2019</v>
      </c>
      <c r="B314" s="10" t="s">
        <v>236</v>
      </c>
      <c r="C314" s="23">
        <v>240975</v>
      </c>
      <c r="D314" s="20"/>
      <c r="E314" s="16"/>
      <c r="F314" s="19"/>
      <c r="G314" s="20"/>
      <c r="H314" s="20"/>
      <c r="I314" s="20"/>
    </row>
    <row r="315" spans="1:9">
      <c r="A315">
        <v>2019</v>
      </c>
      <c r="B315" s="10" t="s">
        <v>238</v>
      </c>
      <c r="C315" s="10">
        <v>0</v>
      </c>
      <c r="D315" s="16"/>
      <c r="E315" s="16"/>
      <c r="F315" s="19"/>
      <c r="G315" s="16"/>
      <c r="H315" s="20"/>
      <c r="I315" s="20"/>
    </row>
    <row r="316" spans="1:9">
      <c r="A316">
        <v>2019</v>
      </c>
      <c r="B316" s="10" t="s">
        <v>189</v>
      </c>
      <c r="C316" s="23">
        <v>533420</v>
      </c>
      <c r="D316" s="20"/>
      <c r="E316" s="16"/>
      <c r="F316" s="19"/>
      <c r="G316" s="20"/>
      <c r="H316" s="20"/>
      <c r="I316" s="20"/>
    </row>
    <row r="317" spans="1:9">
      <c r="A317">
        <v>2019</v>
      </c>
      <c r="B317" s="10" t="s">
        <v>260</v>
      </c>
      <c r="C317" s="23">
        <v>305898</v>
      </c>
      <c r="D317" s="20"/>
      <c r="E317" s="16"/>
      <c r="F317" s="19"/>
      <c r="G317" s="20"/>
      <c r="H317" s="20"/>
      <c r="I317" s="20"/>
    </row>
    <row r="318" spans="1:9">
      <c r="A318">
        <v>2019</v>
      </c>
      <c r="B318" s="10" t="s">
        <v>190</v>
      </c>
      <c r="C318" s="23">
        <v>1278141</v>
      </c>
      <c r="D318" s="20"/>
      <c r="E318" s="16"/>
      <c r="F318" s="19"/>
      <c r="G318" s="20"/>
      <c r="H318" s="20"/>
      <c r="I318" s="20"/>
    </row>
    <row r="319" spans="1:9">
      <c r="A319">
        <v>2019</v>
      </c>
      <c r="B319" s="10" t="s">
        <v>191</v>
      </c>
      <c r="C319" s="23">
        <v>106645</v>
      </c>
      <c r="D319" s="20"/>
      <c r="E319" s="16"/>
      <c r="F319" s="19"/>
      <c r="G319" s="20"/>
      <c r="H319" s="20"/>
      <c r="I319" s="20"/>
    </row>
    <row r="320" spans="1:9">
      <c r="A320">
        <v>2019</v>
      </c>
      <c r="B320" s="10" t="s">
        <v>192</v>
      </c>
      <c r="C320" s="23">
        <v>40085</v>
      </c>
      <c r="D320" s="20"/>
      <c r="E320" s="16"/>
      <c r="F320" s="19"/>
      <c r="G320" s="20"/>
      <c r="H320" s="20"/>
      <c r="I320" s="20"/>
    </row>
    <row r="321" spans="1:9">
      <c r="A321">
        <v>2019</v>
      </c>
      <c r="B321" s="10" t="s">
        <v>193</v>
      </c>
      <c r="C321" s="23">
        <v>35953</v>
      </c>
      <c r="D321" s="20"/>
      <c r="E321" s="16"/>
      <c r="F321" s="19"/>
      <c r="G321" s="20"/>
      <c r="H321" s="20"/>
      <c r="I321" s="20"/>
    </row>
    <row r="322" spans="1:9">
      <c r="A322">
        <v>2019</v>
      </c>
      <c r="B322" s="10" t="s">
        <v>194</v>
      </c>
      <c r="C322" s="10">
        <v>0</v>
      </c>
      <c r="D322" s="16"/>
      <c r="E322" s="16"/>
      <c r="F322" s="19"/>
      <c r="G322" s="16"/>
      <c r="H322" s="20"/>
      <c r="I322" s="20"/>
    </row>
    <row r="323" spans="1:9">
      <c r="A323">
        <v>2019</v>
      </c>
      <c r="B323" s="10" t="s">
        <v>220</v>
      </c>
      <c r="C323" s="10">
        <v>0</v>
      </c>
      <c r="D323" s="16"/>
      <c r="E323" s="16"/>
      <c r="F323" s="19"/>
      <c r="G323" s="16"/>
      <c r="H323" s="20"/>
      <c r="I323" s="20"/>
    </row>
    <row r="324" spans="1:9">
      <c r="A324">
        <v>2019</v>
      </c>
      <c r="B324" s="10" t="s">
        <v>195</v>
      </c>
      <c r="C324" s="23">
        <v>96566</v>
      </c>
      <c r="D324" s="20"/>
      <c r="E324" s="16"/>
      <c r="F324" s="19"/>
      <c r="G324" s="20"/>
      <c r="H324" s="20"/>
      <c r="I324" s="20"/>
    </row>
    <row r="326" spans="1:9">
      <c r="B326" s="12" t="s">
        <v>297</v>
      </c>
      <c r="C326" s="21">
        <f>SUM(C2:C324)</f>
        <v>113747928</v>
      </c>
    </row>
    <row r="327" spans="1:9">
      <c r="B327" s="12"/>
    </row>
    <row r="328" spans="1:9">
      <c r="B328" s="12" t="s">
        <v>296</v>
      </c>
      <c r="C328" s="21">
        <v>113747925</v>
      </c>
    </row>
    <row r="330" spans="1:9">
      <c r="B330" s="13" t="s">
        <v>295</v>
      </c>
      <c r="C330" s="24">
        <f>C326-C328</f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E8AA-4855-734D-8782-F983323931B8}">
  <sheetPr>
    <tabColor rgb="FFFFFF00"/>
  </sheetPr>
  <dimension ref="A1:I337"/>
  <sheetViews>
    <sheetView workbookViewId="0">
      <selection activeCell="A2" sqref="A2:C331"/>
    </sheetView>
  </sheetViews>
  <sheetFormatPr baseColWidth="10" defaultRowHeight="16"/>
  <cols>
    <col min="2" max="2" width="20.83203125" style="10" bestFit="1" customWidth="1"/>
    <col min="3" max="3" width="15" style="10" bestFit="1" customWidth="1"/>
  </cols>
  <sheetData>
    <row r="1" spans="1:9">
      <c r="A1" t="s">
        <v>356</v>
      </c>
      <c r="B1" s="10" t="s">
        <v>293</v>
      </c>
      <c r="C1" s="10" t="s">
        <v>294</v>
      </c>
    </row>
    <row r="2" spans="1:9">
      <c r="A2">
        <v>2020</v>
      </c>
      <c r="B2" s="10" t="s">
        <v>207</v>
      </c>
      <c r="C2" s="15">
        <v>0</v>
      </c>
      <c r="D2" s="27"/>
      <c r="E2" s="27"/>
      <c r="F2" s="28"/>
      <c r="G2" s="27"/>
      <c r="H2" s="27"/>
      <c r="I2" s="27"/>
    </row>
    <row r="3" spans="1:9">
      <c r="A3">
        <v>2020</v>
      </c>
      <c r="B3" s="10" t="s">
        <v>306</v>
      </c>
      <c r="C3" s="23">
        <v>2547252</v>
      </c>
      <c r="D3" s="29"/>
      <c r="E3" s="26"/>
      <c r="F3" s="28"/>
      <c r="G3" s="29"/>
      <c r="H3" s="29"/>
      <c r="I3" s="29"/>
    </row>
    <row r="4" spans="1:9">
      <c r="A4">
        <v>2020</v>
      </c>
      <c r="B4" s="10" t="s">
        <v>210</v>
      </c>
      <c r="C4" s="10">
        <v>0</v>
      </c>
      <c r="D4" s="26"/>
      <c r="E4" s="26"/>
      <c r="F4" s="28"/>
      <c r="G4" s="26"/>
      <c r="H4" s="29"/>
      <c r="I4" s="29"/>
    </row>
    <row r="5" spans="1:9">
      <c r="A5">
        <v>2020</v>
      </c>
      <c r="B5" s="10" t="s">
        <v>204</v>
      </c>
      <c r="C5" s="10">
        <v>0</v>
      </c>
      <c r="D5" s="26"/>
      <c r="E5" s="26"/>
      <c r="F5" s="28"/>
      <c r="G5" s="26"/>
      <c r="H5" s="29"/>
      <c r="I5" s="29"/>
    </row>
    <row r="6" spans="1:9">
      <c r="A6">
        <v>2020</v>
      </c>
      <c r="B6" s="10" t="s">
        <v>307</v>
      </c>
      <c r="C6" s="23">
        <v>1360802</v>
      </c>
      <c r="D6" s="29"/>
      <c r="E6" s="26"/>
      <c r="F6" s="28"/>
      <c r="G6" s="29"/>
      <c r="H6" s="29"/>
      <c r="I6" s="29"/>
    </row>
    <row r="7" spans="1:9">
      <c r="A7">
        <v>2020</v>
      </c>
      <c r="B7" s="10" t="s">
        <v>232</v>
      </c>
      <c r="C7" s="10">
        <v>0</v>
      </c>
      <c r="D7" s="26"/>
      <c r="E7" s="26"/>
      <c r="F7" s="28"/>
      <c r="G7" s="26"/>
      <c r="H7" s="29"/>
      <c r="I7" s="29"/>
    </row>
    <row r="8" spans="1:9">
      <c r="A8">
        <v>2020</v>
      </c>
      <c r="B8" s="10" t="s">
        <v>0</v>
      </c>
      <c r="C8" s="10">
        <v>0</v>
      </c>
      <c r="D8" s="26"/>
      <c r="E8" s="26"/>
      <c r="F8" s="28"/>
      <c r="G8" s="26"/>
      <c r="H8" s="29"/>
      <c r="I8" s="29"/>
    </row>
    <row r="9" spans="1:9">
      <c r="A9">
        <v>2020</v>
      </c>
      <c r="B9" s="10" t="s">
        <v>1</v>
      </c>
      <c r="C9" s="10">
        <v>0</v>
      </c>
      <c r="D9" s="26"/>
      <c r="E9" s="26"/>
      <c r="F9" s="28"/>
      <c r="G9" s="26"/>
      <c r="H9" s="29"/>
      <c r="I9" s="29"/>
    </row>
    <row r="10" spans="1:9">
      <c r="A10">
        <v>2020</v>
      </c>
      <c r="B10" s="10" t="s">
        <v>2</v>
      </c>
      <c r="C10" s="23">
        <v>209896</v>
      </c>
      <c r="D10" s="29"/>
      <c r="E10" s="26"/>
      <c r="F10" s="28"/>
      <c r="G10" s="29"/>
      <c r="H10" s="29"/>
      <c r="I10" s="29"/>
    </row>
    <row r="11" spans="1:9">
      <c r="A11">
        <v>2020</v>
      </c>
      <c r="B11" s="10" t="s">
        <v>3</v>
      </c>
      <c r="C11" s="23">
        <v>583653</v>
      </c>
      <c r="D11" s="29"/>
      <c r="E11" s="26"/>
      <c r="F11" s="28"/>
      <c r="G11" s="29"/>
      <c r="H11" s="29"/>
      <c r="I11" s="29"/>
    </row>
    <row r="12" spans="1:9">
      <c r="A12">
        <v>2020</v>
      </c>
      <c r="B12" s="10" t="s">
        <v>4</v>
      </c>
      <c r="C12" s="10">
        <v>0</v>
      </c>
      <c r="D12" s="26"/>
      <c r="E12" s="26"/>
      <c r="F12" s="28"/>
      <c r="G12" s="26"/>
      <c r="H12" s="29"/>
      <c r="I12" s="29"/>
    </row>
    <row r="13" spans="1:9">
      <c r="A13">
        <v>2020</v>
      </c>
      <c r="B13" s="10" t="s">
        <v>5</v>
      </c>
      <c r="C13" s="23">
        <v>89301</v>
      </c>
      <c r="D13" s="29"/>
      <c r="E13" s="26"/>
      <c r="F13" s="28"/>
      <c r="G13" s="29"/>
      <c r="H13" s="29"/>
      <c r="I13" s="29"/>
    </row>
    <row r="14" spans="1:9">
      <c r="A14">
        <v>2020</v>
      </c>
      <c r="B14" s="10" t="s">
        <v>6</v>
      </c>
      <c r="C14" s="10">
        <v>0</v>
      </c>
      <c r="D14" s="26"/>
      <c r="E14" s="26"/>
      <c r="F14" s="28"/>
      <c r="G14" s="26"/>
      <c r="H14" s="29"/>
      <c r="I14" s="29"/>
    </row>
    <row r="15" spans="1:9">
      <c r="A15">
        <v>2020</v>
      </c>
      <c r="B15" s="10" t="s">
        <v>7</v>
      </c>
      <c r="C15" s="10">
        <v>0</v>
      </c>
      <c r="D15" s="26"/>
      <c r="E15" s="26"/>
      <c r="F15" s="28"/>
      <c r="G15" s="26"/>
      <c r="H15" s="29"/>
      <c r="I15" s="29"/>
    </row>
    <row r="16" spans="1:9">
      <c r="A16">
        <v>2020</v>
      </c>
      <c r="B16" s="10" t="s">
        <v>285</v>
      </c>
      <c r="C16" s="10">
        <v>0</v>
      </c>
      <c r="D16" s="26"/>
      <c r="E16" s="26"/>
      <c r="F16" s="28"/>
      <c r="G16" s="26"/>
      <c r="H16" s="29"/>
      <c r="I16" s="29"/>
    </row>
    <row r="17" spans="1:9">
      <c r="A17">
        <v>2020</v>
      </c>
      <c r="B17" s="10" t="s">
        <v>8</v>
      </c>
      <c r="C17" s="10">
        <v>0</v>
      </c>
      <c r="D17" s="26"/>
      <c r="E17" s="26"/>
      <c r="F17" s="28"/>
      <c r="G17" s="26"/>
      <c r="H17" s="29"/>
      <c r="I17" s="29"/>
    </row>
    <row r="18" spans="1:9">
      <c r="A18">
        <v>2020</v>
      </c>
      <c r="B18" s="10" t="s">
        <v>336</v>
      </c>
      <c r="C18" s="23">
        <v>3148844</v>
      </c>
      <c r="D18" s="29"/>
      <c r="E18" s="26"/>
      <c r="F18" s="28"/>
      <c r="G18" s="29"/>
      <c r="H18" s="29"/>
      <c r="I18" s="29"/>
    </row>
    <row r="19" spans="1:9">
      <c r="A19">
        <v>2020</v>
      </c>
      <c r="B19" s="10" t="s">
        <v>209</v>
      </c>
      <c r="C19" s="10">
        <v>0</v>
      </c>
      <c r="D19" s="26"/>
      <c r="E19" s="26"/>
      <c r="F19" s="28"/>
      <c r="G19" s="26"/>
      <c r="H19" s="29"/>
      <c r="I19" s="29"/>
    </row>
    <row r="20" spans="1:9">
      <c r="A20">
        <v>2020</v>
      </c>
      <c r="B20" s="10" t="s">
        <v>301</v>
      </c>
      <c r="C20" s="23">
        <v>193700</v>
      </c>
      <c r="D20" s="29"/>
      <c r="E20" s="26"/>
      <c r="F20" s="28"/>
      <c r="G20" s="29"/>
      <c r="H20" s="29"/>
      <c r="I20" s="29"/>
    </row>
    <row r="21" spans="1:9">
      <c r="A21">
        <v>2020</v>
      </c>
      <c r="B21" s="10" t="s">
        <v>9</v>
      </c>
      <c r="C21" s="10">
        <v>0</v>
      </c>
      <c r="D21" s="26"/>
      <c r="E21" s="26"/>
      <c r="F21" s="28"/>
      <c r="G21" s="26"/>
      <c r="H21" s="29"/>
      <c r="I21" s="29"/>
    </row>
    <row r="22" spans="1:9">
      <c r="A22">
        <v>2020</v>
      </c>
      <c r="B22" s="10" t="s">
        <v>196</v>
      </c>
      <c r="C22" s="10">
        <v>0</v>
      </c>
      <c r="D22" s="26"/>
      <c r="E22" s="26"/>
      <c r="F22" s="28"/>
      <c r="G22" s="26"/>
      <c r="H22" s="29"/>
      <c r="I22" s="29"/>
    </row>
    <row r="23" spans="1:9">
      <c r="A23">
        <v>2020</v>
      </c>
      <c r="B23" s="10" t="s">
        <v>10</v>
      </c>
      <c r="C23" s="10">
        <v>0</v>
      </c>
      <c r="D23" s="26"/>
      <c r="E23" s="26"/>
      <c r="F23" s="28"/>
      <c r="G23" s="26"/>
      <c r="H23" s="29"/>
      <c r="I23" s="29"/>
    </row>
    <row r="24" spans="1:9">
      <c r="A24">
        <v>2020</v>
      </c>
      <c r="B24" s="10" t="s">
        <v>223</v>
      </c>
      <c r="C24" s="23">
        <v>656665</v>
      </c>
      <c r="D24" s="29"/>
      <c r="E24" s="26"/>
      <c r="F24" s="28"/>
      <c r="G24" s="29"/>
      <c r="H24" s="29"/>
      <c r="I24" s="29"/>
    </row>
    <row r="25" spans="1:9">
      <c r="A25">
        <v>2020</v>
      </c>
      <c r="B25" s="10" t="s">
        <v>11</v>
      </c>
      <c r="C25" s="10">
        <v>0</v>
      </c>
      <c r="D25" s="26"/>
      <c r="E25" s="26"/>
      <c r="F25" s="28"/>
      <c r="G25" s="26"/>
      <c r="H25" s="29"/>
      <c r="I25" s="29"/>
    </row>
    <row r="26" spans="1:9">
      <c r="A26">
        <v>2020</v>
      </c>
      <c r="B26" s="10" t="s">
        <v>12</v>
      </c>
      <c r="C26" s="10">
        <v>0</v>
      </c>
      <c r="D26" s="26"/>
      <c r="E26" s="26"/>
      <c r="F26" s="28"/>
      <c r="G26" s="26"/>
      <c r="H26" s="29"/>
      <c r="I26" s="29"/>
    </row>
    <row r="27" spans="1:9">
      <c r="A27">
        <v>2020</v>
      </c>
      <c r="B27" s="10" t="s">
        <v>13</v>
      </c>
      <c r="C27" s="10">
        <v>0</v>
      </c>
      <c r="D27" s="26"/>
      <c r="E27" s="26"/>
      <c r="F27" s="28"/>
      <c r="G27" s="26"/>
      <c r="H27" s="29"/>
      <c r="I27" s="29"/>
    </row>
    <row r="28" spans="1:9">
      <c r="A28">
        <v>2020</v>
      </c>
      <c r="B28" s="10" t="s">
        <v>14</v>
      </c>
      <c r="C28" s="10">
        <v>0</v>
      </c>
      <c r="D28" s="26"/>
      <c r="E28" s="26"/>
      <c r="F28" s="28"/>
      <c r="G28" s="26"/>
      <c r="H28" s="29"/>
      <c r="I28" s="29"/>
    </row>
    <row r="29" spans="1:9">
      <c r="A29">
        <v>2020</v>
      </c>
      <c r="B29" s="10" t="s">
        <v>264</v>
      </c>
      <c r="C29" s="23">
        <v>468578</v>
      </c>
      <c r="D29" s="29"/>
      <c r="E29" s="26"/>
      <c r="F29" s="28"/>
      <c r="G29" s="29"/>
      <c r="H29" s="29"/>
      <c r="I29" s="29"/>
    </row>
    <row r="30" spans="1:9">
      <c r="A30">
        <v>2020</v>
      </c>
      <c r="B30" s="10" t="s">
        <v>16</v>
      </c>
      <c r="C30" s="10">
        <v>0</v>
      </c>
      <c r="D30" s="26"/>
      <c r="E30" s="26"/>
      <c r="F30" s="28"/>
      <c r="G30" s="26"/>
      <c r="H30" s="29"/>
      <c r="I30" s="29"/>
    </row>
    <row r="31" spans="1:9">
      <c r="A31">
        <v>2020</v>
      </c>
      <c r="B31" s="10" t="s">
        <v>17</v>
      </c>
      <c r="C31" s="10">
        <v>0</v>
      </c>
      <c r="D31" s="26"/>
      <c r="E31" s="26"/>
      <c r="F31" s="28"/>
      <c r="G31" s="26"/>
      <c r="H31" s="29"/>
      <c r="I31" s="29"/>
    </row>
    <row r="32" spans="1:9">
      <c r="A32">
        <v>2020</v>
      </c>
      <c r="B32" s="10" t="s">
        <v>18</v>
      </c>
      <c r="C32" s="10">
        <v>0</v>
      </c>
      <c r="D32" s="26"/>
      <c r="E32" s="26"/>
      <c r="F32" s="28"/>
      <c r="G32" s="26"/>
      <c r="H32" s="29"/>
      <c r="I32" s="29"/>
    </row>
    <row r="33" spans="1:9">
      <c r="A33">
        <v>2020</v>
      </c>
      <c r="B33" s="10" t="s">
        <v>19</v>
      </c>
      <c r="C33" s="10">
        <v>0</v>
      </c>
      <c r="D33" s="26"/>
      <c r="E33" s="26"/>
      <c r="F33" s="28"/>
      <c r="G33" s="26"/>
      <c r="H33" s="29"/>
      <c r="I33" s="29"/>
    </row>
    <row r="34" spans="1:9">
      <c r="A34">
        <v>2020</v>
      </c>
      <c r="B34" s="10" t="s">
        <v>219</v>
      </c>
      <c r="C34" s="10">
        <v>0</v>
      </c>
      <c r="D34" s="26"/>
      <c r="E34" s="26"/>
      <c r="F34" s="28"/>
      <c r="G34" s="26"/>
      <c r="H34" s="29"/>
      <c r="I34" s="29"/>
    </row>
    <row r="35" spans="1:9">
      <c r="A35">
        <v>2020</v>
      </c>
      <c r="B35" s="10" t="s">
        <v>21</v>
      </c>
      <c r="C35" s="10">
        <v>0</v>
      </c>
      <c r="D35" s="26"/>
      <c r="E35" s="26"/>
      <c r="F35" s="28"/>
      <c r="G35" s="26"/>
      <c r="H35" s="29"/>
      <c r="I35" s="29"/>
    </row>
    <row r="36" spans="1:9">
      <c r="A36">
        <v>2020</v>
      </c>
      <c r="B36" s="10" t="s">
        <v>22</v>
      </c>
      <c r="C36" s="23">
        <v>120399</v>
      </c>
      <c r="D36" s="29"/>
      <c r="E36" s="26"/>
      <c r="F36" s="28"/>
      <c r="G36" s="29"/>
      <c r="H36" s="29"/>
      <c r="I36" s="29"/>
    </row>
    <row r="37" spans="1:9">
      <c r="A37">
        <v>2020</v>
      </c>
      <c r="B37" s="10" t="s">
        <v>23</v>
      </c>
      <c r="C37" s="10">
        <v>0</v>
      </c>
      <c r="D37" s="26"/>
      <c r="E37" s="26"/>
      <c r="F37" s="28"/>
      <c r="G37" s="26"/>
      <c r="H37" s="29"/>
      <c r="I37" s="29"/>
    </row>
    <row r="38" spans="1:9">
      <c r="A38">
        <v>2020</v>
      </c>
      <c r="B38" s="10" t="s">
        <v>24</v>
      </c>
      <c r="C38" s="10">
        <v>0</v>
      </c>
      <c r="D38" s="26"/>
      <c r="E38" s="26"/>
      <c r="F38" s="28"/>
      <c r="G38" s="26"/>
      <c r="H38" s="29"/>
      <c r="I38" s="29"/>
    </row>
    <row r="39" spans="1:9">
      <c r="A39">
        <v>2020</v>
      </c>
      <c r="B39" s="10" t="s">
        <v>25</v>
      </c>
      <c r="C39" s="10">
        <v>0</v>
      </c>
      <c r="D39" s="26"/>
      <c r="E39" s="26"/>
      <c r="F39" s="28"/>
      <c r="G39" s="26"/>
      <c r="H39" s="29"/>
      <c r="I39" s="29"/>
    </row>
    <row r="40" spans="1:9">
      <c r="A40">
        <v>2020</v>
      </c>
      <c r="B40" s="10" t="s">
        <v>26</v>
      </c>
      <c r="C40" s="10">
        <v>0</v>
      </c>
      <c r="D40" s="26"/>
      <c r="E40" s="26"/>
      <c r="F40" s="28"/>
      <c r="G40" s="26"/>
      <c r="H40" s="29"/>
      <c r="I40" s="29"/>
    </row>
    <row r="41" spans="1:9">
      <c r="A41">
        <v>2020</v>
      </c>
      <c r="B41" s="10" t="s">
        <v>27</v>
      </c>
      <c r="C41" s="23">
        <v>5540904</v>
      </c>
      <c r="D41" s="29"/>
      <c r="E41" s="26"/>
      <c r="F41" s="28"/>
      <c r="G41" s="29"/>
      <c r="H41" s="29"/>
      <c r="I41" s="29"/>
    </row>
    <row r="42" spans="1:9">
      <c r="A42">
        <v>2020</v>
      </c>
      <c r="B42" s="10" t="s">
        <v>197</v>
      </c>
      <c r="C42" s="23">
        <v>957383</v>
      </c>
      <c r="D42" s="29"/>
      <c r="E42" s="26"/>
      <c r="F42" s="28"/>
      <c r="G42" s="29"/>
      <c r="H42" s="29"/>
      <c r="I42" s="29"/>
    </row>
    <row r="43" spans="1:9">
      <c r="A43">
        <v>2020</v>
      </c>
      <c r="B43" s="10" t="s">
        <v>28</v>
      </c>
      <c r="C43" s="23">
        <v>239531</v>
      </c>
      <c r="D43" s="29"/>
      <c r="E43" s="26"/>
      <c r="F43" s="28"/>
      <c r="G43" s="29"/>
      <c r="H43" s="29"/>
      <c r="I43" s="29"/>
    </row>
    <row r="44" spans="1:9">
      <c r="A44">
        <v>2020</v>
      </c>
      <c r="B44" s="10" t="s">
        <v>29</v>
      </c>
      <c r="C44" s="10">
        <v>0</v>
      </c>
      <c r="D44" s="26"/>
      <c r="E44" s="26"/>
      <c r="F44" s="28"/>
      <c r="G44" s="26"/>
      <c r="H44" s="29"/>
      <c r="I44" s="29"/>
    </row>
    <row r="45" spans="1:9">
      <c r="A45">
        <v>2020</v>
      </c>
      <c r="B45" s="10" t="s">
        <v>314</v>
      </c>
      <c r="C45" s="23">
        <v>567074</v>
      </c>
      <c r="D45" s="29"/>
      <c r="E45" s="26"/>
      <c r="F45" s="28"/>
      <c r="G45" s="29"/>
      <c r="H45" s="29"/>
      <c r="I45" s="29"/>
    </row>
    <row r="46" spans="1:9">
      <c r="A46">
        <v>2020</v>
      </c>
      <c r="B46" s="10" t="s">
        <v>241</v>
      </c>
      <c r="C46" s="23">
        <v>414151</v>
      </c>
      <c r="D46" s="29"/>
      <c r="E46" s="26"/>
      <c r="F46" s="28"/>
      <c r="G46" s="29"/>
      <c r="H46" s="29"/>
      <c r="I46" s="29"/>
    </row>
    <row r="47" spans="1:9">
      <c r="A47">
        <v>2020</v>
      </c>
      <c r="B47" s="10" t="s">
        <v>252</v>
      </c>
      <c r="C47" s="10">
        <v>0</v>
      </c>
      <c r="D47" s="26"/>
      <c r="E47" s="26"/>
      <c r="F47" s="28"/>
      <c r="G47" s="26"/>
      <c r="H47" s="29"/>
      <c r="I47" s="29"/>
    </row>
    <row r="48" spans="1:9">
      <c r="A48">
        <v>2020</v>
      </c>
      <c r="B48" s="10" t="s">
        <v>30</v>
      </c>
      <c r="C48" s="23">
        <v>267865</v>
      </c>
      <c r="D48" s="29"/>
      <c r="E48" s="26"/>
      <c r="F48" s="28"/>
      <c r="G48" s="29"/>
      <c r="H48" s="29"/>
      <c r="I48" s="29"/>
    </row>
    <row r="49" spans="1:9">
      <c r="A49">
        <v>2020</v>
      </c>
      <c r="B49" s="10" t="s">
        <v>31</v>
      </c>
      <c r="C49" s="23">
        <v>310048</v>
      </c>
      <c r="D49" s="29"/>
      <c r="E49" s="26"/>
      <c r="F49" s="28"/>
      <c r="G49" s="29"/>
      <c r="H49" s="29"/>
      <c r="I49" s="29"/>
    </row>
    <row r="50" spans="1:9">
      <c r="A50">
        <v>2020</v>
      </c>
      <c r="B50" s="10" t="s">
        <v>32</v>
      </c>
      <c r="C50" s="10">
        <v>0</v>
      </c>
      <c r="D50" s="26"/>
      <c r="E50" s="26"/>
      <c r="F50" s="28"/>
      <c r="G50" s="26"/>
      <c r="H50" s="29"/>
      <c r="I50" s="29"/>
    </row>
    <row r="51" spans="1:9">
      <c r="A51">
        <v>2020</v>
      </c>
      <c r="B51" s="10" t="s">
        <v>33</v>
      </c>
      <c r="C51" s="10">
        <v>0</v>
      </c>
      <c r="D51" s="26"/>
      <c r="E51" s="26"/>
      <c r="F51" s="28"/>
      <c r="G51" s="26"/>
      <c r="H51" s="29"/>
      <c r="I51" s="29"/>
    </row>
    <row r="52" spans="1:9">
      <c r="A52">
        <v>2020</v>
      </c>
      <c r="B52" s="10" t="s">
        <v>315</v>
      </c>
      <c r="C52" s="23">
        <v>436459</v>
      </c>
      <c r="D52" s="29"/>
      <c r="E52" s="26"/>
      <c r="F52" s="28"/>
      <c r="G52" s="29"/>
      <c r="H52" s="29"/>
      <c r="I52" s="29"/>
    </row>
    <row r="53" spans="1:9">
      <c r="A53">
        <v>2020</v>
      </c>
      <c r="B53" s="10" t="s">
        <v>337</v>
      </c>
      <c r="C53" s="23">
        <v>290799</v>
      </c>
      <c r="D53" s="29"/>
      <c r="E53" s="26"/>
      <c r="F53" s="28"/>
      <c r="G53" s="29"/>
      <c r="H53" s="29"/>
      <c r="I53" s="29"/>
    </row>
    <row r="54" spans="1:9">
      <c r="A54">
        <v>2020</v>
      </c>
      <c r="B54" s="10" t="s">
        <v>308</v>
      </c>
      <c r="C54" s="23">
        <v>5739222</v>
      </c>
      <c r="D54" s="29"/>
      <c r="E54" s="26"/>
      <c r="F54" s="28"/>
      <c r="G54" s="29"/>
      <c r="H54" s="29"/>
      <c r="I54" s="29"/>
    </row>
    <row r="55" spans="1:9">
      <c r="A55">
        <v>2020</v>
      </c>
      <c r="B55" s="10" t="s">
        <v>229</v>
      </c>
      <c r="C55" s="10">
        <v>0</v>
      </c>
      <c r="D55" s="26"/>
      <c r="E55" s="26"/>
      <c r="F55" s="28"/>
      <c r="G55" s="26"/>
      <c r="H55" s="29"/>
      <c r="I55" s="29"/>
    </row>
    <row r="56" spans="1:9">
      <c r="A56">
        <v>2020</v>
      </c>
      <c r="B56" s="10" t="s">
        <v>34</v>
      </c>
      <c r="C56" s="23">
        <v>146391</v>
      </c>
      <c r="D56" s="29"/>
      <c r="E56" s="26"/>
      <c r="F56" s="28"/>
      <c r="G56" s="29"/>
      <c r="H56" s="29"/>
      <c r="I56" s="29"/>
    </row>
    <row r="57" spans="1:9">
      <c r="A57">
        <v>2020</v>
      </c>
      <c r="B57" s="10" t="s">
        <v>35</v>
      </c>
      <c r="C57" s="10">
        <v>0</v>
      </c>
      <c r="D57" s="26"/>
      <c r="E57" s="26"/>
      <c r="F57" s="28"/>
      <c r="G57" s="26"/>
      <c r="H57" s="29"/>
      <c r="I57" s="29"/>
    </row>
    <row r="58" spans="1:9">
      <c r="A58">
        <v>2020</v>
      </c>
      <c r="B58" s="10" t="s">
        <v>36</v>
      </c>
      <c r="C58" s="10">
        <v>0</v>
      </c>
      <c r="D58" s="26"/>
      <c r="E58" s="26"/>
      <c r="F58" s="28"/>
      <c r="G58" s="26"/>
      <c r="H58" s="29"/>
      <c r="I58" s="29"/>
    </row>
    <row r="59" spans="1:9">
      <c r="A59">
        <v>2020</v>
      </c>
      <c r="B59" s="10" t="s">
        <v>222</v>
      </c>
      <c r="C59" s="10">
        <v>0</v>
      </c>
      <c r="D59" s="26"/>
      <c r="E59" s="26"/>
      <c r="F59" s="28"/>
      <c r="G59" s="26"/>
      <c r="H59" s="29"/>
      <c r="I59" s="29"/>
    </row>
    <row r="60" spans="1:9">
      <c r="A60">
        <v>2020</v>
      </c>
      <c r="B60" s="10" t="s">
        <v>234</v>
      </c>
      <c r="C60" s="10">
        <v>0</v>
      </c>
      <c r="D60" s="26"/>
      <c r="E60" s="26"/>
      <c r="F60" s="28"/>
      <c r="G60" s="26"/>
      <c r="H60" s="29"/>
      <c r="I60" s="29"/>
    </row>
    <row r="61" spans="1:9">
      <c r="A61">
        <v>2020</v>
      </c>
      <c r="B61" s="10" t="s">
        <v>231</v>
      </c>
      <c r="C61" s="10">
        <v>0</v>
      </c>
      <c r="D61" s="26"/>
      <c r="E61" s="26"/>
      <c r="F61" s="28"/>
      <c r="G61" s="26"/>
      <c r="H61" s="29"/>
      <c r="I61" s="29"/>
    </row>
    <row r="62" spans="1:9">
      <c r="A62">
        <v>2020</v>
      </c>
      <c r="B62" s="10" t="s">
        <v>37</v>
      </c>
      <c r="C62" s="10">
        <v>0</v>
      </c>
      <c r="D62" s="26"/>
      <c r="E62" s="26"/>
      <c r="F62" s="28"/>
      <c r="G62" s="26"/>
      <c r="H62" s="29"/>
      <c r="I62" s="29"/>
    </row>
    <row r="63" spans="1:9">
      <c r="A63">
        <v>2020</v>
      </c>
      <c r="B63" s="10" t="s">
        <v>38</v>
      </c>
      <c r="C63" s="23">
        <v>2950428</v>
      </c>
      <c r="D63" s="29"/>
      <c r="E63" s="26"/>
      <c r="F63" s="28"/>
      <c r="G63" s="29"/>
      <c r="H63" s="29"/>
      <c r="I63" s="29"/>
    </row>
    <row r="64" spans="1:9">
      <c r="A64">
        <v>2020</v>
      </c>
      <c r="B64" s="10" t="s">
        <v>39</v>
      </c>
      <c r="C64" s="10">
        <v>0</v>
      </c>
      <c r="D64" s="26"/>
      <c r="E64" s="26"/>
      <c r="F64" s="28"/>
      <c r="G64" s="26"/>
      <c r="H64" s="29"/>
      <c r="I64" s="29"/>
    </row>
    <row r="65" spans="1:9">
      <c r="A65">
        <v>2020</v>
      </c>
      <c r="B65" s="10" t="s">
        <v>40</v>
      </c>
      <c r="C65" s="10">
        <v>0</v>
      </c>
      <c r="D65" s="26"/>
      <c r="E65" s="26"/>
      <c r="F65" s="28"/>
      <c r="G65" s="26"/>
      <c r="H65" s="29"/>
      <c r="I65" s="29"/>
    </row>
    <row r="66" spans="1:9">
      <c r="A66">
        <v>2020</v>
      </c>
      <c r="B66" s="10" t="s">
        <v>41</v>
      </c>
      <c r="C66" s="23">
        <v>139793</v>
      </c>
      <c r="D66" s="29"/>
      <c r="E66" s="26"/>
      <c r="F66" s="28"/>
      <c r="G66" s="29"/>
      <c r="H66" s="29"/>
      <c r="I66" s="29"/>
    </row>
    <row r="67" spans="1:9">
      <c r="A67">
        <v>2020</v>
      </c>
      <c r="B67" s="10" t="s">
        <v>42</v>
      </c>
      <c r="C67" s="23">
        <v>180085</v>
      </c>
      <c r="D67" s="29"/>
      <c r="E67" s="26"/>
      <c r="F67" s="28"/>
      <c r="G67" s="29"/>
      <c r="H67" s="29"/>
      <c r="I67" s="29"/>
    </row>
    <row r="68" spans="1:9">
      <c r="A68">
        <v>2020</v>
      </c>
      <c r="B68" s="10" t="s">
        <v>43</v>
      </c>
      <c r="C68" s="23">
        <v>426437</v>
      </c>
      <c r="D68" s="29"/>
      <c r="E68" s="26"/>
      <c r="F68" s="28"/>
      <c r="G68" s="29"/>
      <c r="H68" s="29"/>
      <c r="I68" s="29"/>
    </row>
    <row r="69" spans="1:9">
      <c r="A69">
        <v>2020</v>
      </c>
      <c r="B69" s="10" t="s">
        <v>201</v>
      </c>
      <c r="C69" s="23">
        <v>15429</v>
      </c>
      <c r="D69" s="29"/>
      <c r="E69" s="26"/>
      <c r="F69" s="28"/>
      <c r="G69" s="29"/>
      <c r="H69" s="29"/>
      <c r="I69" s="29"/>
    </row>
    <row r="70" spans="1:9">
      <c r="A70">
        <v>2020</v>
      </c>
      <c r="B70" s="10" t="s">
        <v>202</v>
      </c>
      <c r="C70" s="23">
        <v>8230</v>
      </c>
      <c r="D70" s="29"/>
      <c r="E70" s="26"/>
      <c r="F70" s="28"/>
      <c r="G70" s="29"/>
      <c r="H70" s="29"/>
      <c r="I70" s="29"/>
    </row>
    <row r="71" spans="1:9">
      <c r="A71">
        <v>2020</v>
      </c>
      <c r="B71" s="10" t="s">
        <v>44</v>
      </c>
      <c r="C71" s="23">
        <v>325039</v>
      </c>
      <c r="D71" s="29"/>
      <c r="E71" s="26"/>
      <c r="F71" s="28"/>
      <c r="G71" s="29"/>
      <c r="H71" s="29"/>
      <c r="I71" s="29"/>
    </row>
    <row r="72" spans="1:9">
      <c r="A72">
        <v>2020</v>
      </c>
      <c r="B72" s="10" t="s">
        <v>45</v>
      </c>
      <c r="C72" s="10">
        <v>0</v>
      </c>
      <c r="D72" s="26"/>
      <c r="E72" s="26"/>
      <c r="F72" s="28"/>
      <c r="G72" s="26"/>
      <c r="H72" s="29"/>
      <c r="I72" s="29"/>
    </row>
    <row r="73" spans="1:9">
      <c r="A73">
        <v>2020</v>
      </c>
      <c r="B73" s="10" t="s">
        <v>46</v>
      </c>
      <c r="C73" s="10">
        <v>0</v>
      </c>
      <c r="D73" s="26"/>
      <c r="E73" s="26"/>
      <c r="F73" s="28"/>
      <c r="G73" s="26"/>
      <c r="H73" s="29"/>
      <c r="I73" s="29"/>
    </row>
    <row r="74" spans="1:9">
      <c r="A74">
        <v>2020</v>
      </c>
      <c r="B74" s="10" t="s">
        <v>47</v>
      </c>
      <c r="C74" s="10">
        <v>0</v>
      </c>
      <c r="D74" s="26"/>
      <c r="E74" s="26"/>
      <c r="F74" s="28"/>
      <c r="G74" s="26"/>
      <c r="H74" s="29"/>
      <c r="I74" s="29"/>
    </row>
    <row r="75" spans="1:9">
      <c r="A75">
        <v>2020</v>
      </c>
      <c r="B75" s="10" t="s">
        <v>48</v>
      </c>
      <c r="C75" s="10">
        <v>0</v>
      </c>
      <c r="D75" s="26"/>
      <c r="E75" s="26"/>
      <c r="F75" s="28"/>
      <c r="G75" s="26"/>
      <c r="H75" s="29"/>
      <c r="I75" s="29"/>
    </row>
    <row r="76" spans="1:9">
      <c r="A76">
        <v>2020</v>
      </c>
      <c r="B76" s="10" t="s">
        <v>316</v>
      </c>
      <c r="C76" s="23">
        <v>165319</v>
      </c>
      <c r="D76" s="29"/>
      <c r="E76" s="26"/>
      <c r="F76" s="28"/>
      <c r="G76" s="29"/>
      <c r="H76" s="29"/>
      <c r="I76" s="29"/>
    </row>
    <row r="77" spans="1:9">
      <c r="A77">
        <v>2020</v>
      </c>
      <c r="B77" s="10" t="s">
        <v>49</v>
      </c>
      <c r="C77" s="10">
        <v>0</v>
      </c>
      <c r="D77" s="26"/>
      <c r="E77" s="26"/>
      <c r="F77" s="28"/>
      <c r="G77" s="26"/>
      <c r="H77" s="29"/>
      <c r="I77" s="29"/>
    </row>
    <row r="78" spans="1:9">
      <c r="A78">
        <v>2020</v>
      </c>
      <c r="B78" s="10" t="s">
        <v>302</v>
      </c>
      <c r="C78" s="10">
        <v>0</v>
      </c>
      <c r="D78" s="26"/>
      <c r="E78" s="26"/>
      <c r="F78" s="28"/>
      <c r="G78" s="26"/>
      <c r="H78" s="29"/>
      <c r="I78" s="29"/>
    </row>
    <row r="79" spans="1:9">
      <c r="A79">
        <v>2020</v>
      </c>
      <c r="B79" s="10" t="s">
        <v>50</v>
      </c>
      <c r="C79" s="10">
        <v>0</v>
      </c>
      <c r="D79" s="26"/>
      <c r="E79" s="26"/>
      <c r="F79" s="28"/>
      <c r="G79" s="26"/>
      <c r="H79" s="29"/>
      <c r="I79" s="29"/>
    </row>
    <row r="80" spans="1:9">
      <c r="A80">
        <v>2020</v>
      </c>
      <c r="B80" s="10" t="s">
        <v>51</v>
      </c>
      <c r="C80" s="10">
        <v>0</v>
      </c>
      <c r="D80" s="26"/>
      <c r="E80" s="26"/>
      <c r="F80" s="28"/>
      <c r="G80" s="26"/>
      <c r="H80" s="29"/>
      <c r="I80" s="29"/>
    </row>
    <row r="81" spans="1:9">
      <c r="A81">
        <v>2020</v>
      </c>
      <c r="B81" s="10" t="s">
        <v>338</v>
      </c>
      <c r="C81" s="23">
        <v>1100358</v>
      </c>
      <c r="D81" s="29"/>
      <c r="E81" s="26"/>
      <c r="F81" s="28"/>
      <c r="G81" s="29"/>
      <c r="H81" s="29"/>
      <c r="I81" s="29"/>
    </row>
    <row r="82" spans="1:9">
      <c r="A82">
        <v>2020</v>
      </c>
      <c r="B82" s="10" t="s">
        <v>240</v>
      </c>
      <c r="C82" s="10">
        <v>0</v>
      </c>
      <c r="D82" s="26"/>
      <c r="E82" s="26"/>
      <c r="F82" s="28"/>
      <c r="G82" s="26"/>
      <c r="H82" s="29"/>
      <c r="I82" s="29"/>
    </row>
    <row r="83" spans="1:9">
      <c r="A83">
        <v>2020</v>
      </c>
      <c r="B83" s="10" t="s">
        <v>52</v>
      </c>
      <c r="C83" s="10">
        <v>0</v>
      </c>
      <c r="D83" s="26"/>
      <c r="E83" s="26"/>
      <c r="F83" s="28"/>
      <c r="G83" s="26"/>
      <c r="H83" s="29"/>
      <c r="I83" s="29"/>
    </row>
    <row r="84" spans="1:9">
      <c r="A84">
        <v>2020</v>
      </c>
      <c r="B84" s="10" t="s">
        <v>53</v>
      </c>
      <c r="C84" s="10">
        <v>0</v>
      </c>
      <c r="D84" s="26"/>
      <c r="E84" s="26"/>
      <c r="F84" s="28"/>
      <c r="G84" s="26"/>
      <c r="H84" s="29"/>
      <c r="I84" s="29"/>
    </row>
    <row r="85" spans="1:9">
      <c r="A85">
        <v>2020</v>
      </c>
      <c r="B85" s="10" t="s">
        <v>54</v>
      </c>
      <c r="C85" s="10">
        <v>0</v>
      </c>
      <c r="D85" s="26"/>
      <c r="E85" s="26"/>
      <c r="F85" s="28"/>
      <c r="G85" s="26"/>
      <c r="H85" s="29"/>
      <c r="I85" s="29"/>
    </row>
    <row r="86" spans="1:9">
      <c r="A86">
        <v>2020</v>
      </c>
      <c r="B86" s="10" t="s">
        <v>309</v>
      </c>
      <c r="C86" s="23">
        <v>6096580</v>
      </c>
      <c r="D86" s="29"/>
      <c r="E86" s="26"/>
      <c r="F86" s="28"/>
      <c r="G86" s="29"/>
      <c r="H86" s="29"/>
      <c r="I86" s="29"/>
    </row>
    <row r="87" spans="1:9">
      <c r="A87">
        <v>2020</v>
      </c>
      <c r="B87" s="10" t="s">
        <v>55</v>
      </c>
      <c r="C87" s="10">
        <v>0</v>
      </c>
      <c r="D87" s="26"/>
      <c r="E87" s="26"/>
      <c r="F87" s="28"/>
      <c r="G87" s="26"/>
      <c r="H87" s="29"/>
      <c r="I87" s="29"/>
    </row>
    <row r="88" spans="1:9">
      <c r="A88">
        <v>2020</v>
      </c>
      <c r="B88" s="10" t="s">
        <v>228</v>
      </c>
      <c r="C88" s="10">
        <v>0</v>
      </c>
      <c r="D88" s="26"/>
      <c r="E88" s="26"/>
      <c r="F88" s="28"/>
      <c r="G88" s="26"/>
      <c r="H88" s="29"/>
      <c r="I88" s="29"/>
    </row>
    <row r="89" spans="1:9">
      <c r="A89">
        <v>2020</v>
      </c>
      <c r="B89" s="10" t="s">
        <v>56</v>
      </c>
      <c r="C89" s="23">
        <v>865907</v>
      </c>
      <c r="D89" s="29"/>
      <c r="E89" s="26"/>
      <c r="F89" s="28"/>
      <c r="G89" s="29"/>
      <c r="H89" s="29"/>
      <c r="I89" s="29"/>
    </row>
    <row r="90" spans="1:9">
      <c r="A90">
        <v>2020</v>
      </c>
      <c r="B90" s="10" t="s">
        <v>57</v>
      </c>
      <c r="C90" s="10">
        <v>0</v>
      </c>
      <c r="D90" s="26"/>
      <c r="E90" s="26"/>
      <c r="F90" s="28"/>
      <c r="G90" s="26"/>
      <c r="H90" s="29"/>
      <c r="I90" s="29"/>
    </row>
    <row r="91" spans="1:9">
      <c r="A91">
        <v>2020</v>
      </c>
      <c r="B91" s="10" t="s">
        <v>58</v>
      </c>
      <c r="C91" s="10">
        <v>0</v>
      </c>
      <c r="D91" s="26"/>
      <c r="E91" s="26"/>
      <c r="F91" s="28"/>
      <c r="G91" s="26"/>
      <c r="H91" s="29"/>
      <c r="I91" s="29"/>
    </row>
    <row r="92" spans="1:9">
      <c r="A92">
        <v>2020</v>
      </c>
      <c r="B92" s="10" t="s">
        <v>59</v>
      </c>
      <c r="C92" s="10">
        <v>0</v>
      </c>
      <c r="D92" s="26"/>
      <c r="E92" s="26"/>
      <c r="F92" s="28"/>
      <c r="G92" s="26"/>
      <c r="H92" s="29"/>
      <c r="I92" s="29"/>
    </row>
    <row r="93" spans="1:9">
      <c r="A93">
        <v>2020</v>
      </c>
      <c r="B93" s="10" t="s">
        <v>317</v>
      </c>
      <c r="C93" s="23">
        <v>325940</v>
      </c>
      <c r="D93" s="29"/>
      <c r="E93" s="26"/>
      <c r="F93" s="28"/>
      <c r="G93" s="29"/>
      <c r="H93" s="29"/>
      <c r="I93" s="29"/>
    </row>
    <row r="94" spans="1:9">
      <c r="A94">
        <v>2020</v>
      </c>
      <c r="B94" s="10" t="s">
        <v>60</v>
      </c>
      <c r="C94" s="23">
        <v>119059</v>
      </c>
      <c r="D94" s="29"/>
      <c r="E94" s="26"/>
      <c r="F94" s="28"/>
      <c r="G94" s="29"/>
      <c r="H94" s="29"/>
      <c r="I94" s="29"/>
    </row>
    <row r="95" spans="1:9">
      <c r="A95">
        <v>2020</v>
      </c>
      <c r="B95" s="10" t="s">
        <v>282</v>
      </c>
      <c r="C95" s="10">
        <v>0</v>
      </c>
      <c r="D95" s="26"/>
      <c r="E95" s="26"/>
      <c r="F95" s="28"/>
      <c r="G95" s="26"/>
      <c r="H95" s="29"/>
      <c r="I95" s="29"/>
    </row>
    <row r="96" spans="1:9">
      <c r="A96">
        <v>2020</v>
      </c>
      <c r="B96" s="10" t="s">
        <v>237</v>
      </c>
      <c r="C96" s="23">
        <v>538697</v>
      </c>
      <c r="D96" s="29"/>
      <c r="E96" s="26"/>
      <c r="F96" s="28"/>
      <c r="G96" s="29"/>
      <c r="H96" s="29"/>
      <c r="I96" s="29"/>
    </row>
    <row r="97" spans="1:9">
      <c r="A97">
        <v>2020</v>
      </c>
      <c r="B97" s="10" t="s">
        <v>235</v>
      </c>
      <c r="C97" s="10">
        <v>0</v>
      </c>
      <c r="D97" s="26"/>
      <c r="E97" s="26"/>
      <c r="F97" s="28"/>
      <c r="G97" s="26"/>
      <c r="H97" s="29"/>
      <c r="I97" s="29"/>
    </row>
    <row r="98" spans="1:9">
      <c r="A98">
        <v>2020</v>
      </c>
      <c r="B98" s="10" t="s">
        <v>61</v>
      </c>
      <c r="C98" s="10">
        <v>0</v>
      </c>
      <c r="D98" s="26"/>
      <c r="E98" s="26"/>
      <c r="F98" s="28"/>
      <c r="G98" s="26"/>
      <c r="H98" s="29"/>
      <c r="I98" s="29"/>
    </row>
    <row r="99" spans="1:9">
      <c r="A99">
        <v>2020</v>
      </c>
      <c r="B99" s="10" t="s">
        <v>253</v>
      </c>
      <c r="C99" s="23">
        <v>359089</v>
      </c>
      <c r="D99" s="29"/>
      <c r="E99" s="26"/>
      <c r="F99" s="28"/>
      <c r="G99" s="29"/>
      <c r="H99" s="29"/>
      <c r="I99" s="29"/>
    </row>
    <row r="100" spans="1:9">
      <c r="A100">
        <v>2020</v>
      </c>
      <c r="B100" s="10" t="s">
        <v>62</v>
      </c>
      <c r="C100" s="23">
        <v>643980</v>
      </c>
      <c r="D100" s="29"/>
      <c r="E100" s="26"/>
      <c r="F100" s="28"/>
      <c r="G100" s="29"/>
      <c r="H100" s="29"/>
      <c r="I100" s="29"/>
    </row>
    <row r="101" spans="1:9">
      <c r="A101">
        <v>2020</v>
      </c>
      <c r="B101" s="10" t="s">
        <v>63</v>
      </c>
      <c r="C101" s="10">
        <v>0</v>
      </c>
      <c r="D101" s="26"/>
      <c r="E101" s="26"/>
      <c r="F101" s="28"/>
      <c r="G101" s="26"/>
      <c r="H101" s="29"/>
      <c r="I101" s="29"/>
    </row>
    <row r="102" spans="1:9">
      <c r="A102">
        <v>2020</v>
      </c>
      <c r="B102" s="10" t="s">
        <v>64</v>
      </c>
      <c r="C102" s="10">
        <v>0</v>
      </c>
      <c r="D102" s="26"/>
      <c r="E102" s="26"/>
      <c r="F102" s="28"/>
      <c r="G102" s="26"/>
      <c r="H102" s="29"/>
      <c r="I102" s="29"/>
    </row>
    <row r="103" spans="1:9">
      <c r="A103">
        <v>2020</v>
      </c>
      <c r="B103" s="10" t="s">
        <v>65</v>
      </c>
      <c r="C103" s="10">
        <v>0</v>
      </c>
      <c r="D103" s="26"/>
      <c r="E103" s="26"/>
      <c r="F103" s="28"/>
      <c r="G103" s="26"/>
      <c r="H103" s="29"/>
      <c r="I103" s="29"/>
    </row>
    <row r="104" spans="1:9">
      <c r="A104">
        <v>2020</v>
      </c>
      <c r="B104" s="10" t="s">
        <v>208</v>
      </c>
      <c r="C104" s="23">
        <v>197202</v>
      </c>
      <c r="D104" s="29"/>
      <c r="E104" s="26"/>
      <c r="F104" s="28"/>
      <c r="G104" s="29"/>
      <c r="H104" s="29"/>
      <c r="I104" s="29"/>
    </row>
    <row r="105" spans="1:9">
      <c r="A105">
        <v>2020</v>
      </c>
      <c r="B105" s="10" t="s">
        <v>318</v>
      </c>
      <c r="C105" s="23">
        <v>537644</v>
      </c>
      <c r="D105" s="29"/>
      <c r="E105" s="26"/>
      <c r="F105" s="28"/>
      <c r="G105" s="29"/>
      <c r="H105" s="29"/>
      <c r="I105" s="29"/>
    </row>
    <row r="106" spans="1:9">
      <c r="A106">
        <v>2020</v>
      </c>
      <c r="B106" s="10" t="s">
        <v>265</v>
      </c>
      <c r="C106" s="10">
        <v>0</v>
      </c>
      <c r="D106" s="26"/>
      <c r="E106" s="26"/>
      <c r="F106" s="28"/>
      <c r="G106" s="26"/>
      <c r="H106" s="29"/>
      <c r="I106" s="29"/>
    </row>
    <row r="107" spans="1:9">
      <c r="A107">
        <v>2020</v>
      </c>
      <c r="B107" s="10" t="s">
        <v>319</v>
      </c>
      <c r="C107" s="23">
        <v>688086</v>
      </c>
      <c r="D107" s="29"/>
      <c r="E107" s="26"/>
      <c r="F107" s="28"/>
      <c r="G107" s="29"/>
      <c r="H107" s="29"/>
      <c r="I107" s="29"/>
    </row>
    <row r="108" spans="1:9">
      <c r="A108">
        <v>2020</v>
      </c>
      <c r="B108" s="10" t="s">
        <v>67</v>
      </c>
      <c r="C108" s="10">
        <v>0</v>
      </c>
      <c r="D108" s="26"/>
      <c r="E108" s="26"/>
      <c r="F108" s="28"/>
      <c r="G108" s="26"/>
      <c r="H108" s="29"/>
      <c r="I108" s="29"/>
    </row>
    <row r="109" spans="1:9">
      <c r="A109">
        <v>2020</v>
      </c>
      <c r="B109" s="10" t="s">
        <v>68</v>
      </c>
      <c r="C109" s="10">
        <v>0</v>
      </c>
      <c r="D109" s="26"/>
      <c r="E109" s="26"/>
      <c r="F109" s="28"/>
      <c r="G109" s="26"/>
      <c r="H109" s="29"/>
      <c r="I109" s="29"/>
    </row>
    <row r="110" spans="1:9">
      <c r="A110">
        <v>2020</v>
      </c>
      <c r="B110" s="10" t="s">
        <v>69</v>
      </c>
      <c r="C110" s="10">
        <v>0</v>
      </c>
      <c r="D110" s="26"/>
      <c r="E110" s="26"/>
      <c r="F110" s="28"/>
      <c r="G110" s="26"/>
      <c r="H110" s="29"/>
      <c r="I110" s="29"/>
    </row>
    <row r="111" spans="1:9">
      <c r="A111">
        <v>2020</v>
      </c>
      <c r="B111" s="10" t="s">
        <v>289</v>
      </c>
      <c r="C111" s="23">
        <v>278409</v>
      </c>
      <c r="D111" s="29"/>
      <c r="E111" s="26"/>
      <c r="F111" s="28"/>
      <c r="G111" s="29"/>
      <c r="H111" s="29"/>
      <c r="I111" s="29"/>
    </row>
    <row r="112" spans="1:9">
      <c r="A112">
        <v>2020</v>
      </c>
      <c r="B112" s="10" t="s">
        <v>70</v>
      </c>
      <c r="C112" s="10">
        <v>0</v>
      </c>
      <c r="D112" s="26"/>
      <c r="E112" s="26"/>
      <c r="F112" s="28"/>
      <c r="G112" s="26"/>
      <c r="H112" s="29"/>
      <c r="I112" s="29"/>
    </row>
    <row r="113" spans="1:9">
      <c r="A113">
        <v>2020</v>
      </c>
      <c r="B113" s="10" t="s">
        <v>71</v>
      </c>
      <c r="C113" s="23">
        <v>2651604</v>
      </c>
      <c r="D113" s="29"/>
      <c r="E113" s="26"/>
      <c r="F113" s="28"/>
      <c r="G113" s="29"/>
      <c r="H113" s="29"/>
      <c r="I113" s="29"/>
    </row>
    <row r="114" spans="1:9">
      <c r="A114">
        <v>2020</v>
      </c>
      <c r="B114" s="10" t="s">
        <v>72</v>
      </c>
      <c r="C114" s="23">
        <v>296146</v>
      </c>
      <c r="D114" s="29"/>
      <c r="E114" s="26"/>
      <c r="F114" s="28"/>
      <c r="G114" s="29"/>
      <c r="H114" s="29"/>
      <c r="I114" s="29"/>
    </row>
    <row r="115" spans="1:9">
      <c r="A115">
        <v>2020</v>
      </c>
      <c r="B115" s="10" t="s">
        <v>310</v>
      </c>
      <c r="C115" s="23">
        <v>2695261</v>
      </c>
      <c r="D115" s="29"/>
      <c r="E115" s="26"/>
      <c r="F115" s="28"/>
      <c r="G115" s="29"/>
      <c r="H115" s="29"/>
      <c r="I115" s="29"/>
    </row>
    <row r="116" spans="1:9">
      <c r="A116">
        <v>2020</v>
      </c>
      <c r="B116" s="10" t="s">
        <v>239</v>
      </c>
      <c r="C116" s="23">
        <v>13886</v>
      </c>
      <c r="D116" s="29"/>
      <c r="E116" s="26"/>
      <c r="F116" s="28"/>
      <c r="G116" s="29"/>
      <c r="H116" s="29"/>
      <c r="I116" s="29"/>
    </row>
    <row r="117" spans="1:9">
      <c r="A117">
        <v>2020</v>
      </c>
      <c r="B117" s="10" t="s">
        <v>262</v>
      </c>
      <c r="C117" s="23">
        <v>338716</v>
      </c>
      <c r="D117" s="29"/>
      <c r="E117" s="26"/>
      <c r="F117" s="28"/>
      <c r="G117" s="29"/>
      <c r="H117" s="29"/>
      <c r="I117" s="29"/>
    </row>
    <row r="118" spans="1:9">
      <c r="A118">
        <v>2020</v>
      </c>
      <c r="B118" s="10" t="s">
        <v>73</v>
      </c>
      <c r="C118" s="10">
        <v>0</v>
      </c>
      <c r="D118" s="26"/>
      <c r="E118" s="26"/>
      <c r="F118" s="28"/>
      <c r="G118" s="26"/>
      <c r="H118" s="29"/>
      <c r="I118" s="29"/>
    </row>
    <row r="119" spans="1:9">
      <c r="A119">
        <v>2020</v>
      </c>
      <c r="B119" s="10" t="s">
        <v>74</v>
      </c>
      <c r="C119" s="10">
        <v>0</v>
      </c>
      <c r="D119" s="26"/>
      <c r="E119" s="26"/>
      <c r="F119" s="28"/>
      <c r="G119" s="26"/>
      <c r="H119" s="29"/>
      <c r="I119" s="29"/>
    </row>
    <row r="120" spans="1:9">
      <c r="A120">
        <v>2020</v>
      </c>
      <c r="B120" s="10" t="s">
        <v>75</v>
      </c>
      <c r="C120" s="10">
        <v>0</v>
      </c>
      <c r="D120" s="26"/>
      <c r="E120" s="26"/>
      <c r="F120" s="28"/>
      <c r="G120" s="26"/>
      <c r="H120" s="29"/>
      <c r="I120" s="29"/>
    </row>
    <row r="121" spans="1:9">
      <c r="A121">
        <v>2020</v>
      </c>
      <c r="B121" s="10" t="s">
        <v>76</v>
      </c>
      <c r="C121" s="10">
        <v>0</v>
      </c>
      <c r="D121" s="26"/>
      <c r="E121" s="26"/>
      <c r="F121" s="28"/>
      <c r="G121" s="26"/>
      <c r="H121" s="29"/>
      <c r="I121" s="29"/>
    </row>
    <row r="122" spans="1:9">
      <c r="A122">
        <v>2020</v>
      </c>
      <c r="B122" s="10" t="s">
        <v>77</v>
      </c>
      <c r="C122" s="10">
        <v>0</v>
      </c>
      <c r="D122" s="26"/>
      <c r="E122" s="26"/>
      <c r="F122" s="28"/>
      <c r="G122" s="26"/>
      <c r="H122" s="29"/>
      <c r="I122" s="29"/>
    </row>
    <row r="123" spans="1:9">
      <c r="A123">
        <v>2020</v>
      </c>
      <c r="B123" s="10" t="s">
        <v>78</v>
      </c>
      <c r="C123" s="10">
        <v>0</v>
      </c>
      <c r="D123" s="26"/>
      <c r="E123" s="26"/>
      <c r="F123" s="28"/>
      <c r="G123" s="26"/>
      <c r="H123" s="29"/>
      <c r="I123" s="29"/>
    </row>
    <row r="124" spans="1:9">
      <c r="A124">
        <v>2020</v>
      </c>
      <c r="B124" s="10" t="s">
        <v>79</v>
      </c>
      <c r="C124" s="10">
        <v>0</v>
      </c>
      <c r="D124" s="26"/>
      <c r="E124" s="26"/>
      <c r="F124" s="28"/>
      <c r="G124" s="26"/>
      <c r="H124" s="29"/>
      <c r="I124" s="29"/>
    </row>
    <row r="125" spans="1:9">
      <c r="A125">
        <v>2020</v>
      </c>
      <c r="B125" s="10" t="s">
        <v>80</v>
      </c>
      <c r="C125" s="10">
        <v>0</v>
      </c>
      <c r="D125" s="26"/>
      <c r="E125" s="26"/>
      <c r="F125" s="28"/>
      <c r="G125" s="26"/>
      <c r="H125" s="29"/>
      <c r="I125" s="29"/>
    </row>
    <row r="126" spans="1:9">
      <c r="A126">
        <v>2020</v>
      </c>
      <c r="B126" s="10" t="s">
        <v>81</v>
      </c>
      <c r="C126" s="23">
        <v>99336</v>
      </c>
      <c r="D126" s="29"/>
      <c r="E126" s="26"/>
      <c r="F126" s="28"/>
      <c r="G126" s="29"/>
      <c r="H126" s="29"/>
      <c r="I126" s="29"/>
    </row>
    <row r="127" spans="1:9">
      <c r="A127">
        <v>2020</v>
      </c>
      <c r="B127" s="10" t="s">
        <v>83</v>
      </c>
      <c r="C127" s="10">
        <v>0</v>
      </c>
      <c r="D127" s="26"/>
      <c r="E127" s="26"/>
      <c r="F127" s="28"/>
      <c r="G127" s="26"/>
      <c r="H127" s="29"/>
      <c r="I127" s="29"/>
    </row>
    <row r="128" spans="1:9">
      <c r="A128">
        <v>2020</v>
      </c>
      <c r="B128" s="10" t="s">
        <v>320</v>
      </c>
      <c r="C128" s="23">
        <v>1722945</v>
      </c>
      <c r="D128" s="29"/>
      <c r="E128" s="26"/>
      <c r="F128" s="28"/>
      <c r="G128" s="29"/>
      <c r="H128" s="29"/>
      <c r="I128" s="29"/>
    </row>
    <row r="129" spans="1:9">
      <c r="A129">
        <v>2020</v>
      </c>
      <c r="B129" s="10" t="s">
        <v>246</v>
      </c>
      <c r="C129" s="23">
        <v>387051</v>
      </c>
      <c r="D129" s="29"/>
      <c r="E129" s="26"/>
      <c r="F129" s="28"/>
      <c r="G129" s="29"/>
      <c r="H129" s="29"/>
      <c r="I129" s="29"/>
    </row>
    <row r="130" spans="1:9">
      <c r="A130">
        <v>2020</v>
      </c>
      <c r="B130" s="10" t="s">
        <v>339</v>
      </c>
      <c r="C130" s="23">
        <v>680467</v>
      </c>
      <c r="D130" s="29"/>
      <c r="E130" s="26"/>
      <c r="F130" s="28"/>
      <c r="G130" s="29"/>
      <c r="H130" s="29"/>
      <c r="I130" s="29"/>
    </row>
    <row r="131" spans="1:9">
      <c r="A131">
        <v>2020</v>
      </c>
      <c r="B131" s="10" t="s">
        <v>66</v>
      </c>
      <c r="C131" s="10">
        <v>0</v>
      </c>
      <c r="D131" s="26"/>
      <c r="E131" s="26"/>
      <c r="F131" s="28"/>
      <c r="G131" s="26"/>
      <c r="H131" s="29"/>
      <c r="I131" s="29"/>
    </row>
    <row r="132" spans="1:9">
      <c r="A132">
        <v>2020</v>
      </c>
      <c r="B132" s="10" t="s">
        <v>311</v>
      </c>
      <c r="C132" s="23">
        <v>1648690</v>
      </c>
      <c r="D132" s="29"/>
      <c r="E132" s="26"/>
      <c r="F132" s="28"/>
      <c r="G132" s="29"/>
      <c r="H132" s="29"/>
      <c r="I132" s="29"/>
    </row>
    <row r="133" spans="1:9">
      <c r="A133">
        <v>2020</v>
      </c>
      <c r="B133" s="10" t="s">
        <v>255</v>
      </c>
      <c r="C133" s="23">
        <v>370728</v>
      </c>
      <c r="D133" s="29"/>
      <c r="E133" s="26"/>
      <c r="F133" s="28"/>
      <c r="G133" s="29"/>
      <c r="H133" s="29"/>
      <c r="I133" s="29"/>
    </row>
    <row r="134" spans="1:9">
      <c r="A134">
        <v>2020</v>
      </c>
      <c r="B134" s="10" t="s">
        <v>243</v>
      </c>
      <c r="C134" s="10">
        <v>0</v>
      </c>
      <c r="D134" s="26"/>
      <c r="E134" s="26"/>
      <c r="F134" s="28"/>
      <c r="G134" s="26"/>
      <c r="H134" s="29"/>
      <c r="I134" s="29"/>
    </row>
    <row r="135" spans="1:9">
      <c r="A135">
        <v>2020</v>
      </c>
      <c r="B135" s="10" t="s">
        <v>340</v>
      </c>
      <c r="C135" s="23">
        <v>2105165</v>
      </c>
      <c r="D135" s="29"/>
      <c r="E135" s="26"/>
      <c r="F135" s="28"/>
      <c r="G135" s="29"/>
      <c r="H135" s="29"/>
      <c r="I135" s="29"/>
    </row>
    <row r="136" spans="1:9">
      <c r="A136">
        <v>2020</v>
      </c>
      <c r="B136" s="10" t="s">
        <v>248</v>
      </c>
      <c r="C136" s="10">
        <v>0</v>
      </c>
      <c r="D136" s="26"/>
      <c r="E136" s="26"/>
      <c r="F136" s="28"/>
      <c r="G136" s="26"/>
      <c r="H136" s="29"/>
      <c r="I136" s="29"/>
    </row>
    <row r="137" spans="1:9">
      <c r="A137">
        <v>2020</v>
      </c>
      <c r="B137" s="10" t="s">
        <v>84</v>
      </c>
      <c r="C137" s="10">
        <v>0</v>
      </c>
      <c r="D137" s="26"/>
      <c r="E137" s="26"/>
      <c r="F137" s="28"/>
      <c r="G137" s="26"/>
      <c r="H137" s="29"/>
      <c r="I137" s="29"/>
    </row>
    <row r="138" spans="1:9">
      <c r="A138">
        <v>2020</v>
      </c>
      <c r="B138" s="10" t="s">
        <v>261</v>
      </c>
      <c r="C138" s="10">
        <v>0</v>
      </c>
      <c r="D138" s="26"/>
      <c r="E138" s="26"/>
      <c r="F138" s="28"/>
      <c r="G138" s="26"/>
      <c r="H138" s="29"/>
      <c r="I138" s="29"/>
    </row>
    <row r="139" spans="1:9">
      <c r="A139">
        <v>2020</v>
      </c>
      <c r="B139" s="10" t="s">
        <v>85</v>
      </c>
      <c r="C139" s="10">
        <v>0</v>
      </c>
      <c r="D139" s="26"/>
      <c r="E139" s="26"/>
      <c r="F139" s="28"/>
      <c r="G139" s="26"/>
      <c r="H139" s="29"/>
      <c r="I139" s="29"/>
    </row>
    <row r="140" spans="1:9">
      <c r="A140">
        <v>2020</v>
      </c>
      <c r="B140" s="10" t="s">
        <v>86</v>
      </c>
      <c r="C140" s="23">
        <v>93591</v>
      </c>
      <c r="D140" s="29"/>
      <c r="E140" s="26"/>
      <c r="F140" s="28"/>
      <c r="G140" s="29"/>
      <c r="H140" s="29"/>
      <c r="I140" s="29"/>
    </row>
    <row r="141" spans="1:9">
      <c r="A141">
        <v>2020</v>
      </c>
      <c r="B141" s="10" t="s">
        <v>321</v>
      </c>
      <c r="C141" s="23">
        <v>415248</v>
      </c>
      <c r="D141" s="29"/>
      <c r="E141" s="26"/>
      <c r="F141" s="28"/>
      <c r="G141" s="29"/>
      <c r="H141" s="29"/>
      <c r="I141" s="29"/>
    </row>
    <row r="142" spans="1:9">
      <c r="A142">
        <v>2020</v>
      </c>
      <c r="B142" s="10" t="s">
        <v>87</v>
      </c>
      <c r="C142" s="10">
        <v>0</v>
      </c>
      <c r="D142" s="26"/>
      <c r="E142" s="26"/>
      <c r="F142" s="28"/>
      <c r="G142" s="26"/>
      <c r="H142" s="29"/>
      <c r="I142" s="29"/>
    </row>
    <row r="143" spans="1:9">
      <c r="A143">
        <v>2020</v>
      </c>
      <c r="B143" s="10" t="s">
        <v>88</v>
      </c>
      <c r="C143" s="10">
        <v>0</v>
      </c>
      <c r="D143" s="26"/>
      <c r="E143" s="26"/>
      <c r="F143" s="28"/>
      <c r="G143" s="26"/>
      <c r="H143" s="29"/>
      <c r="I143" s="29"/>
    </row>
    <row r="144" spans="1:9">
      <c r="A144">
        <v>2020</v>
      </c>
      <c r="B144" s="10" t="s">
        <v>198</v>
      </c>
      <c r="C144" s="23">
        <v>480466</v>
      </c>
      <c r="D144" s="29"/>
      <c r="E144" s="26"/>
      <c r="F144" s="28"/>
      <c r="G144" s="29"/>
      <c r="H144" s="29"/>
      <c r="I144" s="29"/>
    </row>
    <row r="145" spans="1:9">
      <c r="A145">
        <v>2020</v>
      </c>
      <c r="B145" s="10" t="s">
        <v>89</v>
      </c>
      <c r="C145" s="10">
        <v>0</v>
      </c>
      <c r="D145" s="26"/>
      <c r="E145" s="26"/>
      <c r="F145" s="28"/>
      <c r="G145" s="26"/>
      <c r="H145" s="29"/>
      <c r="I145" s="29"/>
    </row>
    <row r="146" spans="1:9">
      <c r="A146">
        <v>2020</v>
      </c>
      <c r="B146" s="10" t="s">
        <v>90</v>
      </c>
      <c r="C146" s="10">
        <v>0</v>
      </c>
      <c r="D146" s="26"/>
      <c r="E146" s="26"/>
      <c r="F146" s="28"/>
      <c r="G146" s="26"/>
      <c r="H146" s="29"/>
      <c r="I146" s="29"/>
    </row>
    <row r="147" spans="1:9">
      <c r="A147">
        <v>2020</v>
      </c>
      <c r="B147" s="10" t="s">
        <v>312</v>
      </c>
      <c r="C147" s="23">
        <v>3836800</v>
      </c>
      <c r="D147" s="29"/>
      <c r="E147" s="26"/>
      <c r="F147" s="28"/>
      <c r="G147" s="29"/>
      <c r="H147" s="29"/>
      <c r="I147" s="29"/>
    </row>
    <row r="148" spans="1:9">
      <c r="A148">
        <v>2020</v>
      </c>
      <c r="B148" s="10" t="s">
        <v>91</v>
      </c>
      <c r="C148" s="23">
        <v>117190</v>
      </c>
      <c r="D148" s="29"/>
      <c r="E148" s="26"/>
      <c r="F148" s="28"/>
      <c r="G148" s="29"/>
      <c r="H148" s="29"/>
      <c r="I148" s="29"/>
    </row>
    <row r="149" spans="1:9">
      <c r="A149">
        <v>2020</v>
      </c>
      <c r="B149" s="10" t="s">
        <v>322</v>
      </c>
      <c r="C149" s="23">
        <v>204156</v>
      </c>
      <c r="D149" s="29"/>
      <c r="E149" s="26"/>
      <c r="F149" s="28"/>
      <c r="G149" s="29"/>
      <c r="H149" s="29"/>
      <c r="I149" s="29"/>
    </row>
    <row r="150" spans="1:9">
      <c r="A150">
        <v>2020</v>
      </c>
      <c r="B150" s="10" t="s">
        <v>92</v>
      </c>
      <c r="C150" s="10">
        <v>0</v>
      </c>
      <c r="D150" s="26"/>
      <c r="E150" s="26"/>
      <c r="F150" s="28"/>
      <c r="G150" s="26"/>
      <c r="H150" s="29"/>
      <c r="I150" s="29"/>
    </row>
    <row r="151" spans="1:9">
      <c r="A151">
        <v>2020</v>
      </c>
      <c r="B151" s="10" t="s">
        <v>215</v>
      </c>
      <c r="C151" s="10">
        <v>0</v>
      </c>
      <c r="D151" s="26"/>
      <c r="E151" s="26"/>
      <c r="F151" s="28"/>
      <c r="G151" s="26"/>
      <c r="H151" s="29"/>
      <c r="I151" s="29"/>
    </row>
    <row r="152" spans="1:9">
      <c r="A152">
        <v>2020</v>
      </c>
      <c r="B152" s="10" t="s">
        <v>93</v>
      </c>
      <c r="C152" s="10">
        <v>0</v>
      </c>
      <c r="D152" s="26"/>
      <c r="E152" s="26"/>
      <c r="F152" s="28"/>
      <c r="G152" s="26"/>
      <c r="H152" s="29"/>
      <c r="I152" s="29"/>
    </row>
    <row r="153" spans="1:9">
      <c r="A153">
        <v>2020</v>
      </c>
      <c r="B153" s="10" t="s">
        <v>94</v>
      </c>
      <c r="C153" s="10">
        <v>0</v>
      </c>
      <c r="D153" s="26"/>
      <c r="E153" s="26"/>
      <c r="F153" s="28"/>
      <c r="G153" s="26"/>
      <c r="H153" s="29"/>
      <c r="I153" s="29"/>
    </row>
    <row r="154" spans="1:9">
      <c r="A154">
        <v>2020</v>
      </c>
      <c r="B154" s="10" t="s">
        <v>303</v>
      </c>
      <c r="C154" s="23">
        <v>1260089</v>
      </c>
      <c r="D154" s="29"/>
      <c r="E154" s="26"/>
      <c r="F154" s="28"/>
      <c r="G154" s="29"/>
      <c r="H154" s="29"/>
      <c r="I154" s="29"/>
    </row>
    <row r="155" spans="1:9">
      <c r="A155">
        <v>2020</v>
      </c>
      <c r="B155" s="10" t="s">
        <v>95</v>
      </c>
      <c r="C155" s="23">
        <v>2043501</v>
      </c>
      <c r="D155" s="29"/>
      <c r="E155" s="26"/>
      <c r="F155" s="28"/>
      <c r="G155" s="29"/>
      <c r="H155" s="29"/>
      <c r="I155" s="29"/>
    </row>
    <row r="156" spans="1:9">
      <c r="A156">
        <v>2020</v>
      </c>
      <c r="B156" s="10" t="s">
        <v>341</v>
      </c>
      <c r="C156" s="23">
        <v>2370353</v>
      </c>
      <c r="D156" s="29"/>
      <c r="E156" s="26"/>
      <c r="F156" s="28"/>
      <c r="G156" s="29"/>
      <c r="H156" s="29"/>
      <c r="I156" s="29"/>
    </row>
    <row r="157" spans="1:9">
      <c r="A157">
        <v>2020</v>
      </c>
      <c r="B157" s="10" t="s">
        <v>263</v>
      </c>
      <c r="C157" s="10">
        <v>0</v>
      </c>
      <c r="D157" s="26"/>
      <c r="E157" s="26"/>
      <c r="F157" s="28"/>
      <c r="G157" s="26"/>
      <c r="H157" s="29"/>
      <c r="I157" s="29"/>
    </row>
    <row r="158" spans="1:9">
      <c r="A158">
        <v>2020</v>
      </c>
      <c r="B158" s="10" t="s">
        <v>96</v>
      </c>
      <c r="C158" s="10">
        <v>0</v>
      </c>
      <c r="D158" s="26"/>
      <c r="E158" s="26"/>
      <c r="F158" s="28"/>
      <c r="G158" s="26"/>
      <c r="H158" s="29"/>
      <c r="I158" s="29"/>
    </row>
    <row r="159" spans="1:9">
      <c r="A159">
        <v>2020</v>
      </c>
      <c r="B159" s="10" t="s">
        <v>97</v>
      </c>
      <c r="C159" s="10">
        <v>0</v>
      </c>
      <c r="D159" s="26"/>
      <c r="E159" s="26"/>
      <c r="F159" s="28"/>
      <c r="G159" s="26"/>
      <c r="H159" s="29"/>
      <c r="I159" s="29"/>
    </row>
    <row r="160" spans="1:9">
      <c r="A160">
        <v>2020</v>
      </c>
      <c r="B160" s="10" t="s">
        <v>323</v>
      </c>
      <c r="C160" s="23">
        <v>1570175</v>
      </c>
      <c r="D160" s="29"/>
      <c r="E160" s="26"/>
      <c r="F160" s="28"/>
      <c r="G160" s="29"/>
      <c r="H160" s="29"/>
      <c r="I160" s="29"/>
    </row>
    <row r="161" spans="1:9">
      <c r="A161">
        <v>2020</v>
      </c>
      <c r="B161" s="10" t="s">
        <v>98</v>
      </c>
      <c r="C161" s="10">
        <v>0</v>
      </c>
      <c r="D161" s="26"/>
      <c r="E161" s="26"/>
      <c r="F161" s="28"/>
      <c r="G161" s="26"/>
      <c r="H161" s="29"/>
      <c r="I161" s="29"/>
    </row>
    <row r="162" spans="1:9">
      <c r="A162">
        <v>2020</v>
      </c>
      <c r="B162" s="10" t="s">
        <v>99</v>
      </c>
      <c r="C162" s="10">
        <v>0</v>
      </c>
      <c r="D162" s="26"/>
      <c r="E162" s="26"/>
      <c r="F162" s="28"/>
      <c r="G162" s="26"/>
      <c r="H162" s="29"/>
      <c r="I162" s="29"/>
    </row>
    <row r="163" spans="1:9">
      <c r="A163">
        <v>2020</v>
      </c>
      <c r="B163" s="10" t="s">
        <v>100</v>
      </c>
      <c r="C163" s="10">
        <v>0</v>
      </c>
      <c r="D163" s="26"/>
      <c r="E163" s="26"/>
      <c r="F163" s="28"/>
      <c r="G163" s="26"/>
      <c r="H163" s="29"/>
      <c r="I163" s="29"/>
    </row>
    <row r="164" spans="1:9">
      <c r="A164">
        <v>2020</v>
      </c>
      <c r="B164" s="10" t="s">
        <v>342</v>
      </c>
      <c r="C164" s="23">
        <v>643780</v>
      </c>
      <c r="D164" s="29"/>
      <c r="E164" s="26"/>
      <c r="F164" s="28"/>
      <c r="G164" s="29"/>
      <c r="H164" s="29"/>
      <c r="I164" s="29"/>
    </row>
    <row r="165" spans="1:9">
      <c r="A165">
        <v>2020</v>
      </c>
      <c r="B165" s="10" t="s">
        <v>291</v>
      </c>
      <c r="C165" s="10">
        <v>0</v>
      </c>
      <c r="D165" s="26"/>
      <c r="E165" s="26"/>
      <c r="F165" s="28"/>
      <c r="G165" s="26"/>
      <c r="H165" s="29"/>
      <c r="I165" s="29"/>
    </row>
    <row r="166" spans="1:9">
      <c r="A166">
        <v>2020</v>
      </c>
      <c r="B166" s="10" t="s">
        <v>324</v>
      </c>
      <c r="C166" s="23">
        <v>2093539</v>
      </c>
      <c r="D166" s="29"/>
      <c r="E166" s="26"/>
      <c r="F166" s="28"/>
      <c r="G166" s="29"/>
      <c r="H166" s="29"/>
      <c r="I166" s="29"/>
    </row>
    <row r="167" spans="1:9">
      <c r="A167">
        <v>2020</v>
      </c>
      <c r="B167" s="10" t="s">
        <v>258</v>
      </c>
      <c r="C167" s="10">
        <v>0</v>
      </c>
      <c r="D167" s="26"/>
      <c r="E167" s="26"/>
      <c r="F167" s="28"/>
      <c r="G167" s="26"/>
      <c r="H167" s="29"/>
      <c r="I167" s="29"/>
    </row>
    <row r="168" spans="1:9">
      <c r="A168">
        <v>2020</v>
      </c>
      <c r="B168" s="10" t="s">
        <v>227</v>
      </c>
      <c r="C168" s="23">
        <v>1376894</v>
      </c>
      <c r="D168" s="29"/>
      <c r="E168" s="26"/>
      <c r="F168" s="28"/>
      <c r="G168" s="29"/>
      <c r="H168" s="29"/>
      <c r="I168" s="29"/>
    </row>
    <row r="169" spans="1:9">
      <c r="A169">
        <v>2020</v>
      </c>
      <c r="B169" s="10" t="s">
        <v>101</v>
      </c>
      <c r="C169" s="10">
        <v>0</v>
      </c>
      <c r="D169" s="26"/>
      <c r="E169" s="26"/>
      <c r="F169" s="28"/>
      <c r="G169" s="26"/>
      <c r="H169" s="29"/>
      <c r="I169" s="29"/>
    </row>
    <row r="170" spans="1:9">
      <c r="A170">
        <v>2020</v>
      </c>
      <c r="B170" s="10" t="s">
        <v>343</v>
      </c>
      <c r="C170" s="23">
        <v>3427750</v>
      </c>
      <c r="D170" s="29"/>
      <c r="E170" s="26"/>
      <c r="F170" s="28"/>
      <c r="G170" s="29"/>
      <c r="H170" s="29"/>
      <c r="I170" s="29"/>
    </row>
    <row r="171" spans="1:9">
      <c r="A171">
        <v>2020</v>
      </c>
      <c r="B171" s="10" t="s">
        <v>102</v>
      </c>
      <c r="C171" s="10">
        <v>0</v>
      </c>
      <c r="D171" s="26"/>
      <c r="E171" s="26"/>
      <c r="F171" s="28"/>
      <c r="G171" s="26"/>
      <c r="H171" s="29"/>
      <c r="I171" s="29"/>
    </row>
    <row r="172" spans="1:9">
      <c r="A172">
        <v>2020</v>
      </c>
      <c r="B172" s="10" t="s">
        <v>103</v>
      </c>
      <c r="C172" s="10">
        <v>0</v>
      </c>
      <c r="D172" s="26"/>
      <c r="E172" s="26"/>
      <c r="F172" s="28"/>
      <c r="G172" s="26"/>
      <c r="H172" s="29"/>
      <c r="I172" s="29"/>
    </row>
    <row r="173" spans="1:9">
      <c r="A173">
        <v>2020</v>
      </c>
      <c r="B173" s="10" t="s">
        <v>105</v>
      </c>
      <c r="C173" s="10">
        <v>0</v>
      </c>
      <c r="D173" s="26"/>
      <c r="E173" s="26"/>
      <c r="F173" s="28"/>
      <c r="G173" s="26"/>
      <c r="H173" s="29"/>
      <c r="I173" s="29"/>
    </row>
    <row r="174" spans="1:9">
      <c r="A174">
        <v>2020</v>
      </c>
      <c r="B174" s="10" t="s">
        <v>104</v>
      </c>
      <c r="C174" s="10">
        <v>0</v>
      </c>
      <c r="D174" s="26"/>
      <c r="E174" s="26"/>
      <c r="F174" s="28"/>
      <c r="G174" s="26"/>
      <c r="H174" s="29"/>
      <c r="I174" s="29"/>
    </row>
    <row r="175" spans="1:9">
      <c r="A175">
        <v>2020</v>
      </c>
      <c r="B175" s="10" t="s">
        <v>106</v>
      </c>
      <c r="C175" s="23">
        <v>373799</v>
      </c>
      <c r="D175" s="29"/>
      <c r="E175" s="26"/>
      <c r="F175" s="28"/>
      <c r="G175" s="29"/>
      <c r="H175" s="29"/>
      <c r="I175" s="29"/>
    </row>
    <row r="176" spans="1:9">
      <c r="A176">
        <v>2020</v>
      </c>
      <c r="B176" s="10" t="s">
        <v>107</v>
      </c>
      <c r="C176" s="23">
        <v>115158</v>
      </c>
      <c r="D176" s="29"/>
      <c r="E176" s="26"/>
      <c r="F176" s="28"/>
      <c r="G176" s="29"/>
      <c r="H176" s="29"/>
      <c r="I176" s="29"/>
    </row>
    <row r="177" spans="1:9">
      <c r="A177">
        <v>2020</v>
      </c>
      <c r="B177" s="10" t="s">
        <v>226</v>
      </c>
      <c r="C177" s="23">
        <v>1129851</v>
      </c>
      <c r="D177" s="29"/>
      <c r="E177" s="26"/>
      <c r="F177" s="28"/>
      <c r="G177" s="29"/>
      <c r="H177" s="29"/>
      <c r="I177" s="29"/>
    </row>
    <row r="178" spans="1:9">
      <c r="A178">
        <v>2020</v>
      </c>
      <c r="B178" s="10" t="s">
        <v>109</v>
      </c>
      <c r="C178" s="10">
        <v>0</v>
      </c>
      <c r="D178" s="26"/>
      <c r="E178" s="26"/>
      <c r="F178" s="28"/>
      <c r="G178" s="26"/>
      <c r="H178" s="29"/>
      <c r="I178" s="29"/>
    </row>
    <row r="179" spans="1:9">
      <c r="A179">
        <v>2020</v>
      </c>
      <c r="B179" s="10" t="s">
        <v>344</v>
      </c>
      <c r="C179" s="23">
        <v>684152</v>
      </c>
      <c r="D179" s="29"/>
      <c r="E179" s="26"/>
      <c r="F179" s="28"/>
      <c r="G179" s="29"/>
      <c r="H179" s="29"/>
      <c r="I179" s="29"/>
    </row>
    <row r="180" spans="1:9">
      <c r="A180">
        <v>2020</v>
      </c>
      <c r="B180" s="10" t="s">
        <v>110</v>
      </c>
      <c r="C180" s="10">
        <v>0</v>
      </c>
      <c r="D180" s="26"/>
      <c r="E180" s="26"/>
      <c r="F180" s="28"/>
      <c r="G180" s="26"/>
      <c r="H180" s="29"/>
      <c r="I180" s="29"/>
    </row>
    <row r="181" spans="1:9">
      <c r="A181">
        <v>2020</v>
      </c>
      <c r="B181" s="10" t="s">
        <v>111</v>
      </c>
      <c r="C181" s="23">
        <v>442162</v>
      </c>
      <c r="D181" s="29"/>
      <c r="E181" s="26"/>
      <c r="F181" s="28"/>
      <c r="G181" s="29"/>
      <c r="H181" s="29"/>
      <c r="I181" s="29"/>
    </row>
    <row r="182" spans="1:9">
      <c r="A182">
        <v>2020</v>
      </c>
      <c r="B182" s="10" t="s">
        <v>249</v>
      </c>
      <c r="C182" s="23">
        <v>504393</v>
      </c>
      <c r="D182" s="29"/>
      <c r="E182" s="26"/>
      <c r="F182" s="28"/>
      <c r="G182" s="29"/>
      <c r="H182" s="29"/>
      <c r="I182" s="29"/>
    </row>
    <row r="183" spans="1:9">
      <c r="A183">
        <v>2020</v>
      </c>
      <c r="B183" s="10" t="s">
        <v>281</v>
      </c>
      <c r="C183" s="10">
        <v>0</v>
      </c>
      <c r="D183" s="26"/>
      <c r="E183" s="26"/>
      <c r="F183" s="28"/>
      <c r="G183" s="26"/>
      <c r="H183" s="29"/>
      <c r="I183" s="29"/>
    </row>
    <row r="184" spans="1:9">
      <c r="A184">
        <v>2020</v>
      </c>
      <c r="B184" s="10" t="s">
        <v>112</v>
      </c>
      <c r="C184" s="10">
        <v>0</v>
      </c>
      <c r="D184" s="26"/>
      <c r="E184" s="26"/>
      <c r="F184" s="28"/>
      <c r="G184" s="26"/>
      <c r="H184" s="29"/>
      <c r="I184" s="29"/>
    </row>
    <row r="185" spans="1:9">
      <c r="A185">
        <v>2020</v>
      </c>
      <c r="B185" s="10" t="s">
        <v>242</v>
      </c>
      <c r="C185" s="10">
        <v>0</v>
      </c>
      <c r="D185" s="26"/>
      <c r="E185" s="26"/>
      <c r="F185" s="28"/>
      <c r="G185" s="26"/>
      <c r="H185" s="29"/>
      <c r="I185" s="29"/>
    </row>
    <row r="186" spans="1:9">
      <c r="A186">
        <v>2020</v>
      </c>
      <c r="B186" s="10" t="s">
        <v>313</v>
      </c>
      <c r="C186" s="23">
        <v>1405036</v>
      </c>
      <c r="D186" s="29"/>
      <c r="E186" s="26"/>
      <c r="F186" s="28"/>
      <c r="G186" s="29"/>
      <c r="H186" s="29"/>
      <c r="I186" s="29"/>
    </row>
    <row r="187" spans="1:9">
      <c r="A187">
        <v>2020</v>
      </c>
      <c r="B187" s="10" t="s">
        <v>217</v>
      </c>
      <c r="C187" s="23">
        <v>280678</v>
      </c>
      <c r="D187" s="29"/>
      <c r="E187" s="26"/>
      <c r="F187" s="28"/>
      <c r="G187" s="29"/>
      <c r="H187" s="29"/>
      <c r="I187" s="29"/>
    </row>
    <row r="188" spans="1:9">
      <c r="A188">
        <v>2020</v>
      </c>
      <c r="B188" s="10" t="s">
        <v>259</v>
      </c>
      <c r="C188" s="23">
        <v>749432</v>
      </c>
      <c r="D188" s="29"/>
      <c r="E188" s="26"/>
      <c r="F188" s="28"/>
      <c r="G188" s="29"/>
      <c r="H188" s="29"/>
      <c r="I188" s="29"/>
    </row>
    <row r="189" spans="1:9">
      <c r="A189">
        <v>2020</v>
      </c>
      <c r="B189" s="10" t="s">
        <v>113</v>
      </c>
      <c r="C189" s="10">
        <v>0</v>
      </c>
      <c r="D189" s="26"/>
      <c r="E189" s="26"/>
      <c r="F189" s="28"/>
      <c r="G189" s="26"/>
      <c r="H189" s="29"/>
      <c r="I189" s="29"/>
    </row>
    <row r="190" spans="1:9">
      <c r="A190">
        <v>2020</v>
      </c>
      <c r="B190" s="10" t="s">
        <v>254</v>
      </c>
      <c r="C190" s="23">
        <v>337172</v>
      </c>
      <c r="D190" s="29"/>
      <c r="E190" s="26"/>
      <c r="F190" s="28"/>
      <c r="G190" s="29"/>
      <c r="H190" s="29"/>
      <c r="I190" s="29"/>
    </row>
    <row r="191" spans="1:9">
      <c r="A191">
        <v>2020</v>
      </c>
      <c r="B191" s="10" t="s">
        <v>345</v>
      </c>
      <c r="C191" s="23">
        <v>334714</v>
      </c>
      <c r="D191" s="29"/>
      <c r="E191" s="26"/>
      <c r="F191" s="28"/>
      <c r="G191" s="29"/>
      <c r="H191" s="29"/>
      <c r="I191" s="29"/>
    </row>
    <row r="192" spans="1:9">
      <c r="A192">
        <v>2020</v>
      </c>
      <c r="B192" s="10" t="s">
        <v>114</v>
      </c>
      <c r="C192" s="10">
        <v>0</v>
      </c>
      <c r="D192" s="26"/>
      <c r="E192" s="26"/>
      <c r="F192" s="28"/>
      <c r="G192" s="26"/>
      <c r="H192" s="29"/>
      <c r="I192" s="29"/>
    </row>
    <row r="193" spans="1:9">
      <c r="A193">
        <v>2020</v>
      </c>
      <c r="B193" s="10" t="s">
        <v>304</v>
      </c>
      <c r="C193" s="23">
        <v>1218638</v>
      </c>
      <c r="D193" s="29"/>
      <c r="E193" s="26"/>
      <c r="F193" s="28"/>
      <c r="G193" s="29"/>
      <c r="H193" s="29"/>
      <c r="I193" s="29"/>
    </row>
    <row r="194" spans="1:9">
      <c r="A194">
        <v>2020</v>
      </c>
      <c r="B194" s="10" t="s">
        <v>225</v>
      </c>
      <c r="C194" s="10">
        <v>0</v>
      </c>
      <c r="D194" s="26"/>
      <c r="E194" s="26"/>
      <c r="F194" s="28"/>
      <c r="G194" s="26"/>
      <c r="H194" s="29"/>
      <c r="I194" s="29"/>
    </row>
    <row r="195" spans="1:9">
      <c r="A195">
        <v>2020</v>
      </c>
      <c r="B195" s="10" t="s">
        <v>271</v>
      </c>
      <c r="C195" s="10">
        <v>0</v>
      </c>
      <c r="D195" s="26"/>
      <c r="E195" s="26"/>
      <c r="F195" s="28"/>
      <c r="G195" s="26"/>
      <c r="H195" s="29"/>
      <c r="I195" s="29"/>
    </row>
    <row r="196" spans="1:9">
      <c r="A196">
        <v>2020</v>
      </c>
      <c r="B196" s="10" t="s">
        <v>346</v>
      </c>
      <c r="C196" s="23">
        <v>816999</v>
      </c>
      <c r="D196" s="29"/>
      <c r="E196" s="26"/>
      <c r="F196" s="28"/>
      <c r="G196" s="29"/>
      <c r="H196" s="29"/>
      <c r="I196" s="29"/>
    </row>
    <row r="197" spans="1:9">
      <c r="A197">
        <v>2020</v>
      </c>
      <c r="B197" s="10" t="s">
        <v>326</v>
      </c>
      <c r="C197" s="23">
        <v>978136</v>
      </c>
      <c r="D197" s="29"/>
      <c r="E197" s="26"/>
      <c r="F197" s="28"/>
      <c r="G197" s="29"/>
      <c r="H197" s="29"/>
      <c r="I197" s="29"/>
    </row>
    <row r="198" spans="1:9">
      <c r="A198">
        <v>2020</v>
      </c>
      <c r="B198" s="10" t="s">
        <v>116</v>
      </c>
      <c r="C198" s="23">
        <v>97953</v>
      </c>
      <c r="D198" s="29"/>
      <c r="E198" s="26"/>
      <c r="F198" s="28"/>
      <c r="G198" s="29"/>
      <c r="H198" s="29"/>
      <c r="I198" s="29"/>
    </row>
    <row r="199" spans="1:9">
      <c r="A199">
        <v>2020</v>
      </c>
      <c r="B199" s="10" t="s">
        <v>117</v>
      </c>
      <c r="C199" s="10">
        <v>0</v>
      </c>
      <c r="D199" s="26"/>
      <c r="E199" s="26"/>
      <c r="F199" s="28"/>
      <c r="G199" s="26"/>
      <c r="H199" s="29"/>
      <c r="I199" s="29"/>
    </row>
    <row r="200" spans="1:9">
      <c r="A200">
        <v>2020</v>
      </c>
      <c r="B200" s="10" t="s">
        <v>119</v>
      </c>
      <c r="C200" s="10">
        <v>0</v>
      </c>
      <c r="D200" s="26"/>
      <c r="E200" s="26"/>
      <c r="F200" s="28"/>
      <c r="G200" s="26"/>
      <c r="H200" s="29"/>
      <c r="I200" s="29"/>
    </row>
    <row r="201" spans="1:9">
      <c r="A201">
        <v>2020</v>
      </c>
      <c r="B201" s="10" t="s">
        <v>120</v>
      </c>
      <c r="C201" s="10">
        <v>0</v>
      </c>
      <c r="D201" s="26"/>
      <c r="E201" s="26"/>
      <c r="F201" s="28"/>
      <c r="G201" s="26"/>
      <c r="H201" s="29"/>
      <c r="I201" s="29"/>
    </row>
    <row r="202" spans="1:9">
      <c r="A202">
        <v>2020</v>
      </c>
      <c r="B202" s="10" t="s">
        <v>121</v>
      </c>
      <c r="C202" s="10">
        <v>0</v>
      </c>
      <c r="D202" s="26"/>
      <c r="E202" s="26"/>
      <c r="F202" s="28"/>
      <c r="G202" s="26"/>
      <c r="H202" s="29"/>
      <c r="I202" s="29"/>
    </row>
    <row r="203" spans="1:9">
      <c r="A203">
        <v>2020</v>
      </c>
      <c r="B203" s="10" t="s">
        <v>298</v>
      </c>
      <c r="C203" s="10">
        <v>0</v>
      </c>
      <c r="D203" s="26"/>
      <c r="E203" s="26"/>
      <c r="F203" s="28"/>
      <c r="G203" s="26"/>
      <c r="H203" s="29"/>
      <c r="I203" s="29"/>
    </row>
    <row r="204" spans="1:9">
      <c r="A204">
        <v>2020</v>
      </c>
      <c r="B204" s="10" t="s">
        <v>122</v>
      </c>
      <c r="C204" s="10">
        <v>0</v>
      </c>
      <c r="D204" s="26"/>
      <c r="E204" s="26"/>
      <c r="F204" s="28"/>
      <c r="G204" s="26"/>
      <c r="H204" s="29"/>
      <c r="I204" s="29"/>
    </row>
    <row r="205" spans="1:9">
      <c r="A205">
        <v>2020</v>
      </c>
      <c r="B205" s="10" t="s">
        <v>327</v>
      </c>
      <c r="C205" s="23">
        <v>1243799</v>
      </c>
      <c r="D205" s="29"/>
      <c r="E205" s="26"/>
      <c r="F205" s="28"/>
      <c r="G205" s="29"/>
      <c r="H205" s="29"/>
      <c r="I205" s="29"/>
    </row>
    <row r="206" spans="1:9">
      <c r="A206">
        <v>2020</v>
      </c>
      <c r="B206" s="10" t="s">
        <v>123</v>
      </c>
      <c r="C206" s="10">
        <v>0</v>
      </c>
      <c r="D206" s="26"/>
      <c r="E206" s="26"/>
      <c r="F206" s="28"/>
      <c r="G206" s="26"/>
      <c r="H206" s="29"/>
      <c r="I206" s="29"/>
    </row>
    <row r="207" spans="1:9">
      <c r="A207">
        <v>2020</v>
      </c>
      <c r="B207" s="10" t="s">
        <v>124</v>
      </c>
      <c r="C207" s="10">
        <v>0</v>
      </c>
      <c r="D207" s="26"/>
      <c r="E207" s="26"/>
      <c r="F207" s="28"/>
      <c r="G207" s="26"/>
      <c r="H207" s="29"/>
      <c r="I207" s="29"/>
    </row>
    <row r="208" spans="1:9">
      <c r="A208">
        <v>2020</v>
      </c>
      <c r="B208" s="10" t="s">
        <v>125</v>
      </c>
      <c r="C208" s="10">
        <v>0</v>
      </c>
      <c r="D208" s="26"/>
      <c r="E208" s="26"/>
      <c r="F208" s="28"/>
      <c r="G208" s="26"/>
      <c r="H208" s="29"/>
      <c r="I208" s="29"/>
    </row>
    <row r="209" spans="1:9">
      <c r="A209">
        <v>2020</v>
      </c>
      <c r="B209" s="10" t="s">
        <v>126</v>
      </c>
      <c r="C209" s="10">
        <v>0</v>
      </c>
      <c r="D209" s="26"/>
      <c r="E209" s="26"/>
      <c r="F209" s="28"/>
      <c r="G209" s="26"/>
      <c r="H209" s="29"/>
      <c r="I209" s="29"/>
    </row>
    <row r="210" spans="1:9">
      <c r="A210">
        <v>2020</v>
      </c>
      <c r="B210" s="10" t="s">
        <v>128</v>
      </c>
      <c r="C210" s="10">
        <v>0</v>
      </c>
      <c r="D210" s="26"/>
      <c r="E210" s="26"/>
      <c r="F210" s="28"/>
      <c r="G210" s="26"/>
      <c r="H210" s="29"/>
      <c r="I210" s="29"/>
    </row>
    <row r="211" spans="1:9">
      <c r="A211">
        <v>2020</v>
      </c>
      <c r="B211" s="10" t="s">
        <v>286</v>
      </c>
      <c r="C211" s="23">
        <v>478444</v>
      </c>
      <c r="D211" s="29"/>
      <c r="E211" s="26"/>
      <c r="F211" s="28"/>
      <c r="G211" s="29"/>
      <c r="H211" s="29"/>
      <c r="I211" s="29"/>
    </row>
    <row r="212" spans="1:9">
      <c r="A212">
        <v>2020</v>
      </c>
      <c r="B212" s="10" t="s">
        <v>290</v>
      </c>
      <c r="C212" s="23">
        <v>263759</v>
      </c>
      <c r="D212" s="29"/>
      <c r="E212" s="26"/>
      <c r="F212" s="28"/>
      <c r="G212" s="29"/>
      <c r="H212" s="29"/>
      <c r="I212" s="29"/>
    </row>
    <row r="213" spans="1:9">
      <c r="A213">
        <v>2020</v>
      </c>
      <c r="B213" s="10" t="s">
        <v>347</v>
      </c>
      <c r="C213" s="23">
        <v>181603</v>
      </c>
      <c r="D213" s="29"/>
      <c r="E213" s="26"/>
      <c r="F213" s="28"/>
      <c r="G213" s="29"/>
      <c r="H213" s="29"/>
      <c r="I213" s="29"/>
    </row>
    <row r="214" spans="1:9">
      <c r="A214">
        <v>2020</v>
      </c>
      <c r="B214" s="10" t="s">
        <v>129</v>
      </c>
      <c r="C214" s="10">
        <v>0</v>
      </c>
      <c r="D214" s="26"/>
      <c r="E214" s="26"/>
      <c r="F214" s="28"/>
      <c r="G214" s="26"/>
      <c r="H214" s="29"/>
      <c r="I214" s="29"/>
    </row>
    <row r="215" spans="1:9">
      <c r="A215">
        <v>2020</v>
      </c>
      <c r="B215" s="10" t="s">
        <v>328</v>
      </c>
      <c r="C215" s="23">
        <v>166131</v>
      </c>
      <c r="D215" s="29"/>
      <c r="E215" s="26"/>
      <c r="F215" s="28"/>
      <c r="G215" s="29"/>
      <c r="H215" s="29"/>
      <c r="I215" s="29"/>
    </row>
    <row r="216" spans="1:9">
      <c r="A216">
        <v>2020</v>
      </c>
      <c r="B216" s="10" t="s">
        <v>130</v>
      </c>
      <c r="C216" s="23">
        <v>552641</v>
      </c>
      <c r="D216" s="29"/>
      <c r="E216" s="26"/>
      <c r="F216" s="28"/>
      <c r="G216" s="29"/>
      <c r="H216" s="29"/>
      <c r="I216" s="29"/>
    </row>
    <row r="217" spans="1:9">
      <c r="A217">
        <v>2020</v>
      </c>
      <c r="B217" s="10" t="s">
        <v>131</v>
      </c>
      <c r="C217" s="10">
        <v>0</v>
      </c>
      <c r="D217" s="26"/>
      <c r="E217" s="26"/>
      <c r="F217" s="28"/>
      <c r="G217" s="26"/>
      <c r="H217" s="29"/>
      <c r="I217" s="29"/>
    </row>
    <row r="218" spans="1:9">
      <c r="A218">
        <v>2020</v>
      </c>
      <c r="B218" s="10" t="s">
        <v>132</v>
      </c>
      <c r="C218" s="10">
        <v>0</v>
      </c>
      <c r="D218" s="26"/>
      <c r="E218" s="26"/>
      <c r="F218" s="28"/>
      <c r="G218" s="26"/>
      <c r="H218" s="29"/>
      <c r="I218" s="29"/>
    </row>
    <row r="219" spans="1:9">
      <c r="A219">
        <v>2020</v>
      </c>
      <c r="B219" s="10" t="s">
        <v>230</v>
      </c>
      <c r="C219" s="10">
        <v>0</v>
      </c>
      <c r="D219" s="26"/>
      <c r="E219" s="26"/>
      <c r="F219" s="28"/>
      <c r="G219" s="26"/>
      <c r="H219" s="29"/>
      <c r="I219" s="29"/>
    </row>
    <row r="220" spans="1:9">
      <c r="A220">
        <v>2020</v>
      </c>
      <c r="B220" s="10" t="s">
        <v>133</v>
      </c>
      <c r="C220" s="23">
        <v>3244985</v>
      </c>
      <c r="D220" s="29"/>
      <c r="E220" s="26"/>
      <c r="F220" s="28"/>
      <c r="G220" s="29"/>
      <c r="H220" s="29"/>
      <c r="I220" s="29"/>
    </row>
    <row r="221" spans="1:9">
      <c r="A221">
        <v>2020</v>
      </c>
      <c r="B221" s="10" t="s">
        <v>205</v>
      </c>
      <c r="C221" s="23">
        <v>599370</v>
      </c>
      <c r="D221" s="29"/>
      <c r="E221" s="26"/>
      <c r="F221" s="28"/>
      <c r="G221" s="29"/>
      <c r="H221" s="29"/>
      <c r="I221" s="29"/>
    </row>
    <row r="222" spans="1:9">
      <c r="A222">
        <v>2020</v>
      </c>
      <c r="B222" s="10" t="s">
        <v>283</v>
      </c>
      <c r="C222" s="10">
        <v>0</v>
      </c>
      <c r="D222" s="26"/>
      <c r="E222" s="26"/>
      <c r="F222" s="28"/>
      <c r="G222" s="26"/>
      <c r="H222" s="29"/>
      <c r="I222" s="29"/>
    </row>
    <row r="223" spans="1:9">
      <c r="A223">
        <v>2020</v>
      </c>
      <c r="B223" s="10" t="s">
        <v>206</v>
      </c>
      <c r="C223" s="10">
        <v>0</v>
      </c>
      <c r="D223" s="26"/>
      <c r="E223" s="26"/>
      <c r="F223" s="28"/>
      <c r="G223" s="26"/>
      <c r="H223" s="29"/>
      <c r="I223" s="29"/>
    </row>
    <row r="224" spans="1:9">
      <c r="A224">
        <v>2020</v>
      </c>
      <c r="B224" s="10" t="s">
        <v>134</v>
      </c>
      <c r="C224" s="23">
        <v>376733</v>
      </c>
      <c r="D224" s="29"/>
      <c r="E224" s="26"/>
      <c r="F224" s="28"/>
      <c r="G224" s="29"/>
      <c r="H224" s="29"/>
      <c r="I224" s="29"/>
    </row>
    <row r="225" spans="1:9">
      <c r="A225">
        <v>2020</v>
      </c>
      <c r="B225" s="10" t="s">
        <v>138</v>
      </c>
      <c r="C225" s="10">
        <v>0</v>
      </c>
      <c r="D225" s="26"/>
      <c r="E225" s="26"/>
      <c r="F225" s="28"/>
      <c r="G225" s="26"/>
      <c r="H225" s="29"/>
      <c r="I225" s="29"/>
    </row>
    <row r="226" spans="1:9">
      <c r="A226">
        <v>2020</v>
      </c>
      <c r="B226" s="10" t="s">
        <v>139</v>
      </c>
      <c r="C226" s="10">
        <v>0</v>
      </c>
      <c r="D226" s="26"/>
      <c r="E226" s="26"/>
      <c r="F226" s="28"/>
      <c r="G226" s="26"/>
      <c r="H226" s="29"/>
      <c r="I226" s="29"/>
    </row>
    <row r="227" spans="1:9">
      <c r="A227">
        <v>2020</v>
      </c>
      <c r="B227" s="10" t="s">
        <v>140</v>
      </c>
      <c r="C227" s="23">
        <v>133794</v>
      </c>
      <c r="D227" s="29"/>
      <c r="E227" s="26"/>
      <c r="F227" s="28"/>
      <c r="G227" s="29"/>
      <c r="H227" s="29"/>
      <c r="I227" s="29"/>
    </row>
    <row r="228" spans="1:9">
      <c r="A228">
        <v>2020</v>
      </c>
      <c r="B228" s="10" t="s">
        <v>141</v>
      </c>
      <c r="C228" s="10">
        <v>0</v>
      </c>
      <c r="D228" s="26"/>
      <c r="E228" s="26"/>
      <c r="F228" s="28"/>
      <c r="G228" s="26"/>
      <c r="H228" s="29"/>
      <c r="I228" s="29"/>
    </row>
    <row r="229" spans="1:9">
      <c r="A229">
        <v>2020</v>
      </c>
      <c r="B229" s="10" t="s">
        <v>142</v>
      </c>
      <c r="C229" s="10">
        <v>0</v>
      </c>
      <c r="D229" s="26"/>
      <c r="E229" s="26"/>
      <c r="F229" s="28"/>
      <c r="G229" s="26"/>
      <c r="H229" s="29"/>
      <c r="I229" s="29"/>
    </row>
    <row r="230" spans="1:9">
      <c r="A230">
        <v>2020</v>
      </c>
      <c r="B230" s="10" t="s">
        <v>143</v>
      </c>
      <c r="C230" s="10">
        <v>0</v>
      </c>
      <c r="D230" s="26"/>
      <c r="E230" s="26"/>
      <c r="F230" s="28"/>
      <c r="G230" s="26"/>
      <c r="H230" s="29"/>
      <c r="I230" s="29"/>
    </row>
    <row r="231" spans="1:9">
      <c r="A231">
        <v>2020</v>
      </c>
      <c r="B231" s="10" t="s">
        <v>144</v>
      </c>
      <c r="C231" s="10">
        <v>0</v>
      </c>
      <c r="D231" s="26"/>
      <c r="E231" s="26"/>
      <c r="F231" s="28"/>
      <c r="G231" s="26"/>
      <c r="H231" s="29"/>
      <c r="I231" s="29"/>
    </row>
    <row r="232" spans="1:9">
      <c r="A232">
        <v>2020</v>
      </c>
      <c r="B232" s="10" t="s">
        <v>145</v>
      </c>
      <c r="C232" s="10">
        <v>0</v>
      </c>
      <c r="D232" s="26"/>
      <c r="E232" s="26"/>
      <c r="F232" s="28"/>
      <c r="G232" s="26"/>
      <c r="H232" s="29"/>
      <c r="I232" s="29"/>
    </row>
    <row r="233" spans="1:9">
      <c r="A233">
        <v>2020</v>
      </c>
      <c r="B233" s="10" t="s">
        <v>329</v>
      </c>
      <c r="C233" s="23">
        <v>1707436</v>
      </c>
      <c r="D233" s="29"/>
      <c r="E233" s="26"/>
      <c r="F233" s="28"/>
      <c r="G233" s="29"/>
      <c r="H233" s="29"/>
      <c r="I233" s="29"/>
    </row>
    <row r="234" spans="1:9">
      <c r="A234">
        <v>2020</v>
      </c>
      <c r="B234" s="10" t="s">
        <v>146</v>
      </c>
      <c r="C234" s="23">
        <v>3950480</v>
      </c>
      <c r="D234" s="29"/>
      <c r="E234" s="26"/>
      <c r="F234" s="28"/>
      <c r="G234" s="29"/>
      <c r="H234" s="29"/>
      <c r="I234" s="29"/>
    </row>
    <row r="235" spans="1:9">
      <c r="A235">
        <v>2020</v>
      </c>
      <c r="B235" s="10" t="s">
        <v>147</v>
      </c>
      <c r="C235" s="23">
        <v>150663</v>
      </c>
      <c r="D235" s="29"/>
      <c r="E235" s="26"/>
      <c r="F235" s="28"/>
      <c r="G235" s="29"/>
      <c r="H235" s="29"/>
      <c r="I235" s="29"/>
    </row>
    <row r="236" spans="1:9">
      <c r="A236">
        <v>2020</v>
      </c>
      <c r="B236" s="10" t="s">
        <v>330</v>
      </c>
      <c r="C236" s="23">
        <v>117162</v>
      </c>
      <c r="D236" s="29"/>
      <c r="E236" s="26"/>
      <c r="F236" s="28"/>
      <c r="G236" s="29"/>
      <c r="H236" s="29"/>
      <c r="I236" s="29"/>
    </row>
    <row r="237" spans="1:9">
      <c r="A237">
        <v>2020</v>
      </c>
      <c r="B237" s="10" t="s">
        <v>288</v>
      </c>
      <c r="C237" s="23">
        <v>217054</v>
      </c>
      <c r="D237" s="29"/>
      <c r="E237" s="26"/>
      <c r="F237" s="28"/>
      <c r="G237" s="29"/>
      <c r="H237" s="29"/>
      <c r="I237" s="29"/>
    </row>
    <row r="238" spans="1:9">
      <c r="A238">
        <v>2020</v>
      </c>
      <c r="B238" s="10" t="s">
        <v>266</v>
      </c>
      <c r="C238" s="23">
        <v>1068099</v>
      </c>
      <c r="D238" s="29"/>
      <c r="E238" s="26"/>
      <c r="F238" s="28"/>
      <c r="G238" s="29"/>
      <c r="H238" s="29"/>
      <c r="I238" s="29"/>
    </row>
    <row r="239" spans="1:9">
      <c r="A239">
        <v>2020</v>
      </c>
      <c r="B239" s="10" t="s">
        <v>267</v>
      </c>
      <c r="C239" s="23">
        <v>289836</v>
      </c>
      <c r="D239" s="29"/>
      <c r="E239" s="26"/>
      <c r="F239" s="28"/>
      <c r="G239" s="29"/>
      <c r="H239" s="29"/>
      <c r="I239" s="29"/>
    </row>
    <row r="240" spans="1:9">
      <c r="A240">
        <v>2020</v>
      </c>
      <c r="B240" s="10" t="s">
        <v>348</v>
      </c>
      <c r="C240" s="23">
        <v>1138861</v>
      </c>
      <c r="D240" s="29"/>
      <c r="E240" s="26"/>
      <c r="F240" s="28"/>
      <c r="G240" s="29"/>
      <c r="H240" s="29"/>
      <c r="I240" s="29"/>
    </row>
    <row r="241" spans="1:9">
      <c r="A241">
        <v>2020</v>
      </c>
      <c r="B241" s="10" t="s">
        <v>284</v>
      </c>
      <c r="C241" s="10">
        <v>0</v>
      </c>
      <c r="D241" s="26"/>
      <c r="E241" s="26"/>
      <c r="F241" s="28"/>
      <c r="G241" s="26"/>
      <c r="H241" s="29"/>
      <c r="I241" s="29"/>
    </row>
    <row r="242" spans="1:9">
      <c r="A242">
        <v>2020</v>
      </c>
      <c r="B242" s="10" t="s">
        <v>148</v>
      </c>
      <c r="C242" s="23">
        <v>1678015</v>
      </c>
      <c r="D242" s="29"/>
      <c r="E242" s="26"/>
      <c r="F242" s="28"/>
      <c r="G242" s="29"/>
      <c r="H242" s="29"/>
      <c r="I242" s="29"/>
    </row>
    <row r="243" spans="1:9">
      <c r="A243">
        <v>2020</v>
      </c>
      <c r="B243" s="10" t="s">
        <v>135</v>
      </c>
      <c r="C243" s="10">
        <v>0</v>
      </c>
      <c r="D243" s="26"/>
      <c r="E243" s="26"/>
      <c r="F243" s="28"/>
      <c r="G243" s="26"/>
      <c r="H243" s="29"/>
      <c r="I243" s="29"/>
    </row>
    <row r="244" spans="1:9">
      <c r="A244">
        <v>2020</v>
      </c>
      <c r="B244" s="10" t="s">
        <v>136</v>
      </c>
      <c r="C244" s="10">
        <v>0</v>
      </c>
      <c r="D244" s="26"/>
      <c r="E244" s="26"/>
      <c r="F244" s="28"/>
      <c r="G244" s="26"/>
      <c r="H244" s="29"/>
      <c r="I244" s="29"/>
    </row>
    <row r="245" spans="1:9">
      <c r="A245">
        <v>2020</v>
      </c>
      <c r="B245" s="10" t="s">
        <v>199</v>
      </c>
      <c r="C245" s="23">
        <v>1019993</v>
      </c>
      <c r="D245" s="29"/>
      <c r="E245" s="26"/>
      <c r="F245" s="28"/>
      <c r="G245" s="29"/>
      <c r="H245" s="29"/>
      <c r="I245" s="29"/>
    </row>
    <row r="246" spans="1:9">
      <c r="A246">
        <v>2020</v>
      </c>
      <c r="B246" s="10" t="s">
        <v>137</v>
      </c>
      <c r="C246" s="23">
        <v>888991</v>
      </c>
      <c r="D246" s="29"/>
      <c r="E246" s="26"/>
      <c r="F246" s="28"/>
      <c r="G246" s="29"/>
      <c r="H246" s="29"/>
      <c r="I246" s="29"/>
    </row>
    <row r="247" spans="1:9">
      <c r="A247">
        <v>2020</v>
      </c>
      <c r="B247" s="10" t="s">
        <v>149</v>
      </c>
      <c r="C247" s="23">
        <v>78767</v>
      </c>
      <c r="D247" s="29"/>
      <c r="E247" s="26"/>
      <c r="F247" s="28"/>
      <c r="G247" s="29"/>
      <c r="H247" s="29"/>
      <c r="I247" s="29"/>
    </row>
    <row r="248" spans="1:9">
      <c r="A248">
        <v>2020</v>
      </c>
      <c r="B248" s="10" t="s">
        <v>150</v>
      </c>
      <c r="C248" s="10">
        <v>0</v>
      </c>
      <c r="D248" s="26"/>
      <c r="E248" s="26"/>
      <c r="F248" s="28"/>
      <c r="G248" s="26"/>
      <c r="H248" s="29"/>
      <c r="I248" s="29"/>
    </row>
    <row r="249" spans="1:9">
      <c r="A249">
        <v>2020</v>
      </c>
      <c r="B249" s="10" t="s">
        <v>269</v>
      </c>
      <c r="C249" s="10">
        <v>0</v>
      </c>
      <c r="D249" s="26"/>
      <c r="E249" s="26"/>
      <c r="F249" s="28"/>
      <c r="G249" s="26"/>
      <c r="H249" s="29"/>
      <c r="I249" s="29"/>
    </row>
    <row r="250" spans="1:9">
      <c r="A250">
        <v>2020</v>
      </c>
      <c r="B250" s="10" t="s">
        <v>151</v>
      </c>
      <c r="C250" s="10">
        <v>0</v>
      </c>
      <c r="D250" s="26"/>
      <c r="E250" s="26"/>
      <c r="F250" s="28"/>
      <c r="G250" s="26"/>
      <c r="H250" s="29"/>
      <c r="I250" s="29"/>
    </row>
    <row r="251" spans="1:9">
      <c r="A251">
        <v>2020</v>
      </c>
      <c r="B251" s="10" t="s">
        <v>152</v>
      </c>
      <c r="C251" s="23">
        <v>120905</v>
      </c>
      <c r="D251" s="29"/>
      <c r="E251" s="26"/>
      <c r="F251" s="28"/>
      <c r="G251" s="29"/>
      <c r="H251" s="29"/>
      <c r="I251" s="29"/>
    </row>
    <row r="252" spans="1:9">
      <c r="A252">
        <v>2020</v>
      </c>
      <c r="B252" s="10" t="s">
        <v>153</v>
      </c>
      <c r="C252" s="10">
        <v>0</v>
      </c>
      <c r="D252" s="26"/>
      <c r="E252" s="26"/>
      <c r="F252" s="28"/>
      <c r="G252" s="26"/>
      <c r="H252" s="29"/>
      <c r="I252" s="29"/>
    </row>
    <row r="253" spans="1:9">
      <c r="A253">
        <v>2020</v>
      </c>
      <c r="B253" s="10" t="s">
        <v>154</v>
      </c>
      <c r="C253" s="10">
        <v>0</v>
      </c>
      <c r="D253" s="26"/>
      <c r="E253" s="26"/>
      <c r="F253" s="28"/>
      <c r="G253" s="26"/>
      <c r="H253" s="29"/>
      <c r="I253" s="29"/>
    </row>
    <row r="254" spans="1:9">
      <c r="A254">
        <v>2020</v>
      </c>
      <c r="B254" s="10" t="s">
        <v>155</v>
      </c>
      <c r="C254" s="10">
        <v>0</v>
      </c>
      <c r="D254" s="26"/>
      <c r="E254" s="26"/>
      <c r="F254" s="28"/>
      <c r="G254" s="26"/>
      <c r="H254" s="29"/>
      <c r="I254" s="29"/>
    </row>
    <row r="255" spans="1:9">
      <c r="A255">
        <v>2020</v>
      </c>
      <c r="B255" s="10" t="s">
        <v>156</v>
      </c>
      <c r="C255" s="10">
        <v>0</v>
      </c>
      <c r="D255" s="26"/>
      <c r="E255" s="26"/>
      <c r="F255" s="28"/>
      <c r="G255" s="26"/>
      <c r="H255" s="29"/>
      <c r="I255" s="29"/>
    </row>
    <row r="256" spans="1:9">
      <c r="A256">
        <v>2020</v>
      </c>
      <c r="B256" s="10" t="s">
        <v>331</v>
      </c>
      <c r="C256" s="23">
        <v>1129770</v>
      </c>
      <c r="D256" s="29"/>
      <c r="E256" s="26"/>
      <c r="F256" s="28"/>
      <c r="G256" s="29"/>
      <c r="H256" s="29"/>
      <c r="I256" s="29"/>
    </row>
    <row r="257" spans="1:9">
      <c r="A257">
        <v>2020</v>
      </c>
      <c r="B257" s="10" t="s">
        <v>200</v>
      </c>
      <c r="C257" s="23">
        <v>400875</v>
      </c>
      <c r="D257" s="29"/>
      <c r="E257" s="26"/>
      <c r="F257" s="28"/>
      <c r="G257" s="29"/>
      <c r="H257" s="29"/>
      <c r="I257" s="29"/>
    </row>
    <row r="258" spans="1:9">
      <c r="A258">
        <v>2020</v>
      </c>
      <c r="B258" s="10" t="s">
        <v>157</v>
      </c>
      <c r="C258" s="23">
        <v>226078</v>
      </c>
      <c r="D258" s="29"/>
      <c r="E258" s="26"/>
      <c r="F258" s="28"/>
      <c r="G258" s="29"/>
      <c r="H258" s="29"/>
      <c r="I258" s="29"/>
    </row>
    <row r="259" spans="1:9">
      <c r="A259">
        <v>2020</v>
      </c>
      <c r="B259" s="10" t="s">
        <v>158</v>
      </c>
      <c r="C259" s="10">
        <v>0</v>
      </c>
      <c r="D259" s="26"/>
      <c r="E259" s="26"/>
      <c r="F259" s="28"/>
      <c r="G259" s="26"/>
      <c r="H259" s="29"/>
      <c r="I259" s="29"/>
    </row>
    <row r="260" spans="1:9">
      <c r="A260">
        <v>2020</v>
      </c>
      <c r="B260" s="10" t="s">
        <v>159</v>
      </c>
      <c r="C260" s="10">
        <v>0</v>
      </c>
      <c r="D260" s="26"/>
      <c r="E260" s="26"/>
      <c r="F260" s="28"/>
      <c r="G260" s="26"/>
      <c r="H260" s="29"/>
      <c r="I260" s="29"/>
    </row>
    <row r="261" spans="1:9">
      <c r="A261">
        <v>2020</v>
      </c>
      <c r="B261" s="10" t="s">
        <v>160</v>
      </c>
      <c r="C261" s="23">
        <v>183599</v>
      </c>
      <c r="D261" s="29"/>
      <c r="E261" s="26"/>
      <c r="F261" s="28"/>
      <c r="G261" s="29"/>
      <c r="H261" s="29"/>
      <c r="I261" s="29"/>
    </row>
    <row r="262" spans="1:9">
      <c r="A262">
        <v>2020</v>
      </c>
      <c r="B262" s="10" t="s">
        <v>161</v>
      </c>
      <c r="C262" s="10">
        <v>0</v>
      </c>
      <c r="D262" s="26"/>
      <c r="E262" s="26"/>
      <c r="F262" s="28"/>
      <c r="G262" s="26"/>
      <c r="H262" s="29"/>
      <c r="I262" s="29"/>
    </row>
    <row r="263" spans="1:9">
      <c r="A263">
        <v>2020</v>
      </c>
      <c r="B263" s="10" t="s">
        <v>332</v>
      </c>
      <c r="C263" s="23">
        <v>554807</v>
      </c>
      <c r="D263" s="29"/>
      <c r="E263" s="26"/>
      <c r="F263" s="28"/>
      <c r="G263" s="29"/>
      <c r="H263" s="29"/>
      <c r="I263" s="29"/>
    </row>
    <row r="264" spans="1:9">
      <c r="A264">
        <v>2020</v>
      </c>
      <c r="B264" s="10" t="s">
        <v>224</v>
      </c>
      <c r="C264" s="23">
        <v>458067</v>
      </c>
      <c r="D264" s="29"/>
      <c r="E264" s="26"/>
      <c r="F264" s="28"/>
      <c r="G264" s="29"/>
      <c r="H264" s="29"/>
      <c r="I264" s="29"/>
    </row>
    <row r="265" spans="1:9">
      <c r="A265">
        <v>2020</v>
      </c>
      <c r="B265" s="10" t="s">
        <v>251</v>
      </c>
      <c r="C265" s="23">
        <v>388665</v>
      </c>
      <c r="D265" s="29"/>
      <c r="E265" s="26"/>
      <c r="F265" s="28"/>
      <c r="G265" s="29"/>
      <c r="H265" s="26"/>
      <c r="I265" s="29"/>
    </row>
    <row r="266" spans="1:9">
      <c r="A266">
        <v>2020</v>
      </c>
      <c r="B266" s="10" t="s">
        <v>244</v>
      </c>
      <c r="C266" s="10">
        <v>0</v>
      </c>
      <c r="D266" s="26"/>
      <c r="E266" s="26"/>
      <c r="F266" s="28"/>
      <c r="G266" s="26"/>
      <c r="H266" s="29"/>
      <c r="I266" s="29"/>
    </row>
    <row r="267" spans="1:9">
      <c r="A267">
        <v>2020</v>
      </c>
      <c r="B267" s="10" t="s">
        <v>268</v>
      </c>
      <c r="C267" s="23">
        <v>397492</v>
      </c>
      <c r="D267" s="29"/>
      <c r="E267" s="26"/>
      <c r="F267" s="28"/>
      <c r="G267" s="29"/>
      <c r="H267" s="29"/>
      <c r="I267" s="29"/>
    </row>
    <row r="268" spans="1:9">
      <c r="A268">
        <v>2020</v>
      </c>
      <c r="B268" s="10" t="s">
        <v>257</v>
      </c>
      <c r="C268" s="10">
        <v>0</v>
      </c>
      <c r="D268" s="26"/>
      <c r="E268" s="26"/>
      <c r="F268" s="28"/>
      <c r="G268" s="26"/>
      <c r="H268" s="29"/>
      <c r="I268" s="29"/>
    </row>
    <row r="269" spans="1:9">
      <c r="A269">
        <v>2020</v>
      </c>
      <c r="B269" s="10" t="s">
        <v>272</v>
      </c>
      <c r="C269" s="10">
        <v>0</v>
      </c>
      <c r="D269" s="26"/>
      <c r="E269" s="26"/>
      <c r="F269" s="28"/>
      <c r="G269" s="26"/>
      <c r="H269" s="29"/>
      <c r="I269" s="29"/>
    </row>
    <row r="270" spans="1:9">
      <c r="A270">
        <v>2020</v>
      </c>
      <c r="B270" s="10" t="s">
        <v>274</v>
      </c>
      <c r="C270" s="23">
        <v>255616</v>
      </c>
      <c r="D270" s="29"/>
      <c r="E270" s="26"/>
      <c r="F270" s="28"/>
      <c r="G270" s="29"/>
      <c r="H270" s="29"/>
      <c r="I270" s="29"/>
    </row>
    <row r="271" spans="1:9">
      <c r="A271">
        <v>2020</v>
      </c>
      <c r="B271" s="10" t="s">
        <v>273</v>
      </c>
      <c r="C271" s="10">
        <v>0</v>
      </c>
      <c r="D271" s="26"/>
      <c r="E271" s="26"/>
      <c r="F271" s="28"/>
      <c r="G271" s="26"/>
      <c r="H271" s="29"/>
      <c r="I271" s="29"/>
    </row>
    <row r="272" spans="1:9">
      <c r="A272">
        <v>2020</v>
      </c>
      <c r="B272" s="10" t="s">
        <v>278</v>
      </c>
      <c r="C272" s="10">
        <v>0</v>
      </c>
      <c r="D272" s="26"/>
      <c r="E272" s="26"/>
      <c r="F272" s="28"/>
      <c r="G272" s="26"/>
      <c r="H272" s="29"/>
      <c r="I272" s="29"/>
    </row>
    <row r="273" spans="1:9">
      <c r="A273">
        <v>2020</v>
      </c>
      <c r="B273" s="10" t="s">
        <v>279</v>
      </c>
      <c r="C273" s="10">
        <v>0</v>
      </c>
      <c r="D273" s="26"/>
      <c r="E273" s="26"/>
      <c r="F273" s="28"/>
      <c r="G273" s="26"/>
      <c r="H273" s="29"/>
      <c r="I273" s="29"/>
    </row>
    <row r="274" spans="1:9">
      <c r="A274">
        <v>2020</v>
      </c>
      <c r="B274" s="10" t="s">
        <v>280</v>
      </c>
      <c r="C274" s="23">
        <v>1007879</v>
      </c>
      <c r="D274" s="29"/>
      <c r="E274" s="26"/>
      <c r="F274" s="28"/>
      <c r="G274" s="29"/>
      <c r="H274" s="29"/>
      <c r="I274" s="29"/>
    </row>
    <row r="275" spans="1:9">
      <c r="A275">
        <v>2020</v>
      </c>
      <c r="B275" s="10" t="s">
        <v>115</v>
      </c>
      <c r="C275" s="10">
        <v>0</v>
      </c>
      <c r="D275" s="26"/>
      <c r="E275" s="26"/>
      <c r="F275" s="28"/>
      <c r="G275" s="26"/>
      <c r="H275" s="29"/>
      <c r="I275" s="29"/>
    </row>
    <row r="276" spans="1:9">
      <c r="A276">
        <v>2020</v>
      </c>
      <c r="B276" s="10" t="s">
        <v>216</v>
      </c>
      <c r="C276" s="10">
        <v>0</v>
      </c>
      <c r="D276" s="26"/>
      <c r="E276" s="26"/>
      <c r="F276" s="28"/>
      <c r="G276" s="26"/>
      <c r="H276" s="29"/>
      <c r="I276" s="29"/>
    </row>
    <row r="277" spans="1:9">
      <c r="A277">
        <v>2020</v>
      </c>
      <c r="B277" s="10" t="s">
        <v>213</v>
      </c>
      <c r="C277" s="23">
        <v>31936</v>
      </c>
      <c r="D277" s="29"/>
      <c r="E277" s="26"/>
      <c r="F277" s="28"/>
      <c r="G277" s="29"/>
      <c r="H277" s="29"/>
      <c r="I277" s="29"/>
    </row>
    <row r="278" spans="1:9">
      <c r="A278">
        <v>2020</v>
      </c>
      <c r="B278" s="10" t="s">
        <v>164</v>
      </c>
      <c r="C278" s="10">
        <v>0</v>
      </c>
      <c r="D278" s="26"/>
      <c r="E278" s="26"/>
      <c r="F278" s="28"/>
      <c r="G278" s="26"/>
      <c r="H278" s="29"/>
      <c r="I278" s="29"/>
    </row>
    <row r="279" spans="1:9">
      <c r="A279">
        <v>2020</v>
      </c>
      <c r="B279" s="10" t="s">
        <v>221</v>
      </c>
      <c r="C279" s="10">
        <v>0</v>
      </c>
      <c r="D279" s="26"/>
      <c r="E279" s="26"/>
      <c r="F279" s="28"/>
      <c r="G279" s="26"/>
      <c r="H279" s="29"/>
      <c r="I279" s="29"/>
    </row>
    <row r="280" spans="1:9">
      <c r="A280">
        <v>2020</v>
      </c>
      <c r="B280" s="10" t="s">
        <v>165</v>
      </c>
      <c r="C280" s="23">
        <v>204690</v>
      </c>
      <c r="D280" s="29"/>
      <c r="E280" s="26"/>
      <c r="F280" s="28"/>
      <c r="G280" s="29"/>
      <c r="H280" s="29"/>
      <c r="I280" s="29"/>
    </row>
    <row r="281" spans="1:9">
      <c r="A281">
        <v>2020</v>
      </c>
      <c r="B281" s="10" t="s">
        <v>166</v>
      </c>
      <c r="C281" s="10">
        <v>0</v>
      </c>
      <c r="D281" s="26"/>
      <c r="E281" s="26"/>
      <c r="F281" s="28"/>
      <c r="G281" s="26"/>
      <c r="H281" s="29"/>
      <c r="I281" s="29"/>
    </row>
    <row r="282" spans="1:9">
      <c r="A282">
        <v>2020</v>
      </c>
      <c r="B282" s="10" t="s">
        <v>167</v>
      </c>
      <c r="C282" s="10">
        <v>0</v>
      </c>
      <c r="D282" s="26"/>
      <c r="E282" s="26"/>
      <c r="F282" s="28"/>
      <c r="G282" s="26"/>
      <c r="H282" s="29"/>
      <c r="I282" s="29"/>
    </row>
    <row r="283" spans="1:9">
      <c r="A283">
        <v>2020</v>
      </c>
      <c r="B283" s="10" t="s">
        <v>168</v>
      </c>
      <c r="C283" s="10">
        <v>0</v>
      </c>
      <c r="D283" s="26"/>
      <c r="E283" s="26"/>
      <c r="F283" s="28"/>
      <c r="G283" s="26"/>
      <c r="H283" s="29"/>
      <c r="I283" s="29"/>
    </row>
    <row r="284" spans="1:9">
      <c r="A284">
        <v>2020</v>
      </c>
      <c r="B284" s="10" t="s">
        <v>169</v>
      </c>
      <c r="C284" s="10">
        <v>0</v>
      </c>
      <c r="D284" s="26"/>
      <c r="E284" s="26"/>
      <c r="F284" s="28"/>
      <c r="G284" s="26"/>
      <c r="H284" s="29"/>
      <c r="I284" s="29"/>
    </row>
    <row r="285" spans="1:9">
      <c r="A285">
        <v>2020</v>
      </c>
      <c r="B285" s="10" t="s">
        <v>170</v>
      </c>
      <c r="C285" s="10">
        <v>0</v>
      </c>
      <c r="D285" s="26"/>
      <c r="E285" s="26"/>
      <c r="F285" s="28"/>
      <c r="G285" s="26"/>
      <c r="H285" s="29"/>
      <c r="I285" s="29"/>
    </row>
    <row r="286" spans="1:9">
      <c r="A286">
        <v>2020</v>
      </c>
      <c r="B286" s="10" t="s">
        <v>275</v>
      </c>
      <c r="C286" s="10">
        <v>0</v>
      </c>
      <c r="D286" s="26"/>
      <c r="E286" s="26"/>
      <c r="F286" s="28"/>
      <c r="G286" s="26"/>
      <c r="H286" s="29"/>
      <c r="I286" s="29"/>
    </row>
    <row r="287" spans="1:9">
      <c r="A287">
        <v>2020</v>
      </c>
      <c r="B287" s="10" t="s">
        <v>349</v>
      </c>
      <c r="C287" s="23">
        <v>2180427</v>
      </c>
      <c r="D287" s="29"/>
      <c r="E287" s="26"/>
      <c r="F287" s="28"/>
      <c r="G287" s="29"/>
      <c r="H287" s="29"/>
      <c r="I287" s="29"/>
    </row>
    <row r="288" spans="1:9">
      <c r="A288">
        <v>2020</v>
      </c>
      <c r="B288" s="10" t="s">
        <v>211</v>
      </c>
      <c r="C288" s="10">
        <v>0</v>
      </c>
      <c r="D288" s="26"/>
      <c r="E288" s="26"/>
      <c r="F288" s="28"/>
      <c r="G288" s="26"/>
      <c r="H288" s="29"/>
      <c r="I288" s="29"/>
    </row>
    <row r="289" spans="1:9">
      <c r="A289">
        <v>2020</v>
      </c>
      <c r="B289" s="10" t="s">
        <v>171</v>
      </c>
      <c r="C289" s="10">
        <v>0</v>
      </c>
      <c r="D289" s="26"/>
      <c r="E289" s="26"/>
      <c r="F289" s="28"/>
      <c r="G289" s="26"/>
      <c r="H289" s="29"/>
      <c r="I289" s="29"/>
    </row>
    <row r="290" spans="1:9">
      <c r="A290">
        <v>2020</v>
      </c>
      <c r="B290" s="10" t="s">
        <v>245</v>
      </c>
      <c r="C290" s="10">
        <v>0</v>
      </c>
      <c r="D290" s="26"/>
      <c r="E290" s="26"/>
      <c r="F290" s="28"/>
      <c r="G290" s="26"/>
      <c r="H290" s="29"/>
      <c r="I290" s="29"/>
    </row>
    <row r="291" spans="1:9">
      <c r="A291">
        <v>2020</v>
      </c>
      <c r="B291" s="10" t="s">
        <v>256</v>
      </c>
      <c r="C291" s="10">
        <v>0</v>
      </c>
      <c r="D291" s="26"/>
      <c r="E291" s="26"/>
      <c r="F291" s="28"/>
      <c r="G291" s="26"/>
      <c r="H291" s="29"/>
      <c r="I291" s="29"/>
    </row>
    <row r="292" spans="1:9">
      <c r="A292">
        <v>2020</v>
      </c>
      <c r="B292" s="10" t="s">
        <v>172</v>
      </c>
      <c r="C292" s="10">
        <v>0</v>
      </c>
      <c r="D292" s="26"/>
      <c r="E292" s="26"/>
      <c r="F292" s="28"/>
      <c r="G292" s="26"/>
      <c r="H292" s="29"/>
      <c r="I292" s="29"/>
    </row>
    <row r="293" spans="1:9">
      <c r="A293">
        <v>2020</v>
      </c>
      <c r="B293" s="10" t="s">
        <v>173</v>
      </c>
      <c r="C293" s="10">
        <v>0</v>
      </c>
      <c r="D293" s="26"/>
      <c r="E293" s="26"/>
      <c r="F293" s="28"/>
      <c r="G293" s="26"/>
      <c r="H293" s="29"/>
      <c r="I293" s="29"/>
    </row>
    <row r="294" spans="1:9">
      <c r="A294">
        <v>2020</v>
      </c>
      <c r="B294" s="10" t="s">
        <v>174</v>
      </c>
      <c r="C294" s="10">
        <v>0</v>
      </c>
      <c r="D294" s="26"/>
      <c r="E294" s="26"/>
      <c r="F294" s="28"/>
      <c r="G294" s="26"/>
      <c r="H294" s="29"/>
      <c r="I294" s="29"/>
    </row>
    <row r="295" spans="1:9">
      <c r="A295">
        <v>2020</v>
      </c>
      <c r="B295" s="10" t="s">
        <v>175</v>
      </c>
      <c r="C295" s="23">
        <v>218951</v>
      </c>
      <c r="D295" s="29"/>
      <c r="E295" s="26"/>
      <c r="F295" s="28"/>
      <c r="G295" s="29"/>
      <c r="H295" s="29"/>
      <c r="I295" s="29"/>
    </row>
    <row r="296" spans="1:9">
      <c r="A296">
        <v>2020</v>
      </c>
      <c r="B296" s="10" t="s">
        <v>176</v>
      </c>
      <c r="C296" s="10">
        <v>0</v>
      </c>
      <c r="D296" s="26"/>
      <c r="E296" s="26"/>
      <c r="F296" s="28"/>
      <c r="G296" s="26"/>
      <c r="H296" s="29"/>
      <c r="I296" s="29"/>
    </row>
    <row r="297" spans="1:9">
      <c r="A297">
        <v>2020</v>
      </c>
      <c r="B297" s="10" t="s">
        <v>333</v>
      </c>
      <c r="C297" s="23">
        <v>199995</v>
      </c>
      <c r="D297" s="29"/>
      <c r="E297" s="26"/>
      <c r="F297" s="28"/>
      <c r="G297" s="29"/>
      <c r="H297" s="29"/>
      <c r="I297" s="29"/>
    </row>
    <row r="298" spans="1:9">
      <c r="A298">
        <v>2020</v>
      </c>
      <c r="B298" s="10" t="s">
        <v>350</v>
      </c>
      <c r="C298" s="23">
        <v>590445</v>
      </c>
      <c r="D298" s="29"/>
      <c r="E298" s="26"/>
      <c r="F298" s="28"/>
      <c r="G298" s="29"/>
      <c r="H298" s="29"/>
      <c r="I298" s="29"/>
    </row>
    <row r="299" spans="1:9">
      <c r="A299">
        <v>2020</v>
      </c>
      <c r="B299" s="10" t="s">
        <v>177</v>
      </c>
      <c r="C299" s="10">
        <v>0</v>
      </c>
      <c r="D299" s="26"/>
      <c r="E299" s="26"/>
      <c r="F299" s="28"/>
      <c r="G299" s="26"/>
      <c r="H299" s="29"/>
      <c r="I299" s="29"/>
    </row>
    <row r="300" spans="1:9">
      <c r="A300">
        <v>2020</v>
      </c>
      <c r="B300" s="10" t="s">
        <v>178</v>
      </c>
      <c r="C300" s="10">
        <v>0</v>
      </c>
      <c r="D300" s="26"/>
      <c r="E300" s="26"/>
      <c r="F300" s="28"/>
      <c r="G300" s="26"/>
      <c r="H300" s="29"/>
      <c r="I300" s="29"/>
    </row>
    <row r="301" spans="1:9">
      <c r="A301">
        <v>2020</v>
      </c>
      <c r="B301" s="10" t="s">
        <v>179</v>
      </c>
      <c r="C301" s="10">
        <v>0</v>
      </c>
      <c r="D301" s="26"/>
      <c r="E301" s="26"/>
      <c r="F301" s="28"/>
      <c r="G301" s="26"/>
      <c r="H301" s="29"/>
      <c r="I301" s="29"/>
    </row>
    <row r="302" spans="1:9">
      <c r="A302">
        <v>2020</v>
      </c>
      <c r="B302" s="10" t="s">
        <v>180</v>
      </c>
      <c r="C302" s="10">
        <v>0</v>
      </c>
      <c r="D302" s="26"/>
      <c r="E302" s="26"/>
      <c r="F302" s="28"/>
      <c r="G302" s="26"/>
      <c r="H302" s="29"/>
      <c r="I302" s="29"/>
    </row>
    <row r="303" spans="1:9">
      <c r="A303">
        <v>2020</v>
      </c>
      <c r="B303" s="10" t="s">
        <v>181</v>
      </c>
      <c r="C303" s="10">
        <v>0</v>
      </c>
      <c r="D303" s="26"/>
      <c r="E303" s="26"/>
      <c r="F303" s="28"/>
      <c r="G303" s="26"/>
      <c r="H303" s="29"/>
      <c r="I303" s="29"/>
    </row>
    <row r="304" spans="1:9">
      <c r="A304">
        <v>2020</v>
      </c>
      <c r="B304" s="10" t="s">
        <v>287</v>
      </c>
      <c r="C304" s="10">
        <v>0</v>
      </c>
      <c r="D304" s="26"/>
      <c r="E304" s="26"/>
      <c r="F304" s="28"/>
      <c r="G304" s="26"/>
      <c r="H304" s="29"/>
      <c r="I304" s="29"/>
    </row>
    <row r="305" spans="1:9">
      <c r="A305">
        <v>2020</v>
      </c>
      <c r="B305" s="10" t="s">
        <v>334</v>
      </c>
      <c r="C305" s="23">
        <v>736362</v>
      </c>
      <c r="D305" s="29"/>
      <c r="E305" s="26"/>
      <c r="F305" s="28"/>
      <c r="G305" s="29"/>
      <c r="H305" s="29"/>
      <c r="I305" s="29"/>
    </row>
    <row r="306" spans="1:9">
      <c r="A306">
        <v>2020</v>
      </c>
      <c r="B306" s="10" t="s">
        <v>305</v>
      </c>
      <c r="C306" s="23">
        <v>376192</v>
      </c>
      <c r="D306" s="29"/>
      <c r="E306" s="26"/>
      <c r="F306" s="28"/>
      <c r="G306" s="29"/>
      <c r="H306" s="29"/>
      <c r="I306" s="29"/>
    </row>
    <row r="307" spans="1:9">
      <c r="A307">
        <v>2020</v>
      </c>
      <c r="B307" s="10" t="s">
        <v>182</v>
      </c>
      <c r="C307" s="10">
        <v>0</v>
      </c>
      <c r="D307" s="26"/>
      <c r="E307" s="26"/>
      <c r="F307" s="28"/>
      <c r="G307" s="26"/>
      <c r="H307" s="29"/>
      <c r="I307" s="29"/>
    </row>
    <row r="308" spans="1:9">
      <c r="A308">
        <v>2020</v>
      </c>
      <c r="B308" s="10" t="s">
        <v>183</v>
      </c>
      <c r="C308" s="10">
        <v>0</v>
      </c>
      <c r="D308" s="26"/>
      <c r="E308" s="26"/>
      <c r="F308" s="28"/>
      <c r="G308" s="26"/>
      <c r="H308" s="29"/>
      <c r="I308" s="29"/>
    </row>
    <row r="309" spans="1:9">
      <c r="A309">
        <v>2020</v>
      </c>
      <c r="B309" s="10" t="s">
        <v>185</v>
      </c>
      <c r="C309" s="10">
        <v>0</v>
      </c>
      <c r="D309" s="26"/>
      <c r="E309" s="26"/>
      <c r="F309" s="28"/>
      <c r="G309" s="26"/>
      <c r="H309" s="29"/>
      <c r="I309" s="29"/>
    </row>
    <row r="310" spans="1:9">
      <c r="A310">
        <v>2020</v>
      </c>
      <c r="B310" s="10" t="s">
        <v>184</v>
      </c>
      <c r="C310" s="10">
        <v>0</v>
      </c>
      <c r="D310" s="26"/>
      <c r="E310" s="26"/>
      <c r="F310" s="28"/>
      <c r="G310" s="26"/>
      <c r="H310" s="29"/>
      <c r="I310" s="29"/>
    </row>
    <row r="311" spans="1:9">
      <c r="A311">
        <v>2020</v>
      </c>
      <c r="B311" s="10" t="s">
        <v>186</v>
      </c>
      <c r="C311" s="10">
        <v>0</v>
      </c>
      <c r="D311" s="26"/>
      <c r="E311" s="26"/>
      <c r="F311" s="28"/>
      <c r="G311" s="26"/>
      <c r="H311" s="29"/>
      <c r="I311" s="29"/>
    </row>
    <row r="312" spans="1:9">
      <c r="A312">
        <v>2020</v>
      </c>
      <c r="B312" s="10" t="s">
        <v>187</v>
      </c>
      <c r="C312" s="10">
        <v>0</v>
      </c>
      <c r="D312" s="26"/>
      <c r="E312" s="26"/>
      <c r="F312" s="28"/>
      <c r="G312" s="26"/>
      <c r="H312" s="29"/>
      <c r="I312" s="29"/>
    </row>
    <row r="313" spans="1:9">
      <c r="A313">
        <v>2020</v>
      </c>
      <c r="B313" s="10" t="s">
        <v>276</v>
      </c>
      <c r="C313" s="23">
        <v>443974</v>
      </c>
      <c r="D313" s="29"/>
      <c r="E313" s="26"/>
      <c r="F313" s="28"/>
      <c r="G313" s="29"/>
      <c r="H313" s="29"/>
      <c r="I313" s="29"/>
    </row>
    <row r="314" spans="1:9">
      <c r="A314">
        <v>2020</v>
      </c>
      <c r="B314" s="10" t="s">
        <v>270</v>
      </c>
      <c r="C314" s="23">
        <v>644368</v>
      </c>
      <c r="D314" s="29"/>
      <c r="E314" s="26"/>
      <c r="F314" s="28"/>
      <c r="G314" s="29"/>
      <c r="H314" s="29"/>
      <c r="I314" s="29"/>
    </row>
    <row r="315" spans="1:9">
      <c r="A315">
        <v>2020</v>
      </c>
      <c r="B315" s="10" t="s">
        <v>351</v>
      </c>
      <c r="C315" s="23">
        <v>278981</v>
      </c>
      <c r="D315" s="29"/>
      <c r="E315" s="26"/>
      <c r="F315" s="28"/>
      <c r="G315" s="29"/>
      <c r="H315" s="29"/>
      <c r="I315" s="29"/>
    </row>
    <row r="316" spans="1:9">
      <c r="A316">
        <v>2020</v>
      </c>
      <c r="B316" s="10" t="s">
        <v>188</v>
      </c>
      <c r="C316" s="23">
        <v>25830</v>
      </c>
      <c r="D316" s="29"/>
      <c r="E316" s="26"/>
      <c r="F316" s="28"/>
      <c r="G316" s="29"/>
      <c r="H316" s="29"/>
      <c r="I316" s="29"/>
    </row>
    <row r="317" spans="1:9">
      <c r="A317">
        <v>2020</v>
      </c>
      <c r="B317" s="10" t="s">
        <v>352</v>
      </c>
      <c r="C317" s="23">
        <v>2701011</v>
      </c>
      <c r="D317" s="29"/>
      <c r="E317" s="26"/>
      <c r="F317" s="28"/>
      <c r="G317" s="29"/>
      <c r="H317" s="29"/>
      <c r="I317" s="29"/>
    </row>
    <row r="318" spans="1:9">
      <c r="A318">
        <v>2020</v>
      </c>
      <c r="B318" s="10" t="s">
        <v>233</v>
      </c>
      <c r="C318" s="23">
        <v>869715</v>
      </c>
      <c r="D318" s="29"/>
      <c r="E318" s="26"/>
      <c r="F318" s="28"/>
      <c r="G318" s="29"/>
      <c r="H318" s="29"/>
      <c r="I318" s="29"/>
    </row>
    <row r="319" spans="1:9">
      <c r="A319">
        <v>2020</v>
      </c>
      <c r="B319" s="10" t="s">
        <v>277</v>
      </c>
      <c r="C319" s="23">
        <v>236572</v>
      </c>
      <c r="D319" s="29"/>
      <c r="E319" s="26"/>
      <c r="F319" s="28"/>
      <c r="G319" s="29"/>
      <c r="H319" s="29"/>
      <c r="I319" s="29"/>
    </row>
    <row r="320" spans="1:9">
      <c r="A320">
        <v>2020</v>
      </c>
      <c r="B320" s="10" t="s">
        <v>335</v>
      </c>
      <c r="C320" s="23">
        <v>1030362</v>
      </c>
      <c r="D320" s="29"/>
      <c r="E320" s="26"/>
      <c r="F320" s="28"/>
      <c r="G320" s="29"/>
      <c r="H320" s="29"/>
      <c r="I320" s="29"/>
    </row>
    <row r="321" spans="1:9">
      <c r="A321">
        <v>2020</v>
      </c>
      <c r="B321" s="10" t="s">
        <v>236</v>
      </c>
      <c r="C321" s="23">
        <v>318391</v>
      </c>
      <c r="D321" s="29"/>
      <c r="E321" s="26"/>
      <c r="F321" s="28"/>
      <c r="G321" s="29"/>
      <c r="H321" s="29"/>
      <c r="I321" s="29"/>
    </row>
    <row r="322" spans="1:9">
      <c r="A322">
        <v>2020</v>
      </c>
      <c r="B322" s="10" t="s">
        <v>238</v>
      </c>
      <c r="C322" s="10">
        <v>0</v>
      </c>
      <c r="D322" s="26"/>
      <c r="E322" s="26"/>
      <c r="F322" s="28"/>
      <c r="G322" s="26"/>
      <c r="H322" s="29"/>
      <c r="I322" s="29"/>
    </row>
    <row r="323" spans="1:9">
      <c r="A323">
        <v>2020</v>
      </c>
      <c r="B323" s="10" t="s">
        <v>189</v>
      </c>
      <c r="C323" s="10">
        <v>0</v>
      </c>
      <c r="D323" s="26"/>
      <c r="E323" s="26"/>
      <c r="F323" s="28"/>
      <c r="G323" s="26"/>
      <c r="H323" s="29"/>
      <c r="I323" s="29"/>
    </row>
    <row r="324" spans="1:9">
      <c r="A324">
        <v>2020</v>
      </c>
      <c r="B324" s="10" t="s">
        <v>260</v>
      </c>
      <c r="C324" s="23">
        <v>321954</v>
      </c>
      <c r="D324" s="29"/>
      <c r="E324" s="26"/>
      <c r="F324" s="28"/>
      <c r="G324" s="29"/>
      <c r="H324" s="29"/>
      <c r="I324" s="29"/>
    </row>
    <row r="325" spans="1:9">
      <c r="A325">
        <v>2020</v>
      </c>
      <c r="B325" s="10" t="s">
        <v>190</v>
      </c>
      <c r="C325" s="23">
        <v>1379874</v>
      </c>
      <c r="D325" s="29"/>
      <c r="E325" s="26"/>
      <c r="F325" s="28"/>
      <c r="G325" s="29"/>
      <c r="H325" s="29"/>
      <c r="I325" s="29"/>
    </row>
    <row r="326" spans="1:9">
      <c r="A326">
        <v>2020</v>
      </c>
      <c r="B326" s="10" t="s">
        <v>191</v>
      </c>
      <c r="C326" s="23">
        <v>124556</v>
      </c>
      <c r="D326" s="29"/>
      <c r="E326" s="26"/>
      <c r="F326" s="28"/>
      <c r="G326" s="29"/>
      <c r="H326" s="29"/>
      <c r="I326" s="29"/>
    </row>
    <row r="327" spans="1:9">
      <c r="A327">
        <v>2020</v>
      </c>
      <c r="B327" s="10" t="s">
        <v>192</v>
      </c>
      <c r="C327" s="10">
        <v>0</v>
      </c>
      <c r="D327" s="26"/>
      <c r="E327" s="26"/>
      <c r="F327" s="28"/>
      <c r="G327" s="26"/>
      <c r="H327" s="29"/>
      <c r="I327" s="29"/>
    </row>
    <row r="328" spans="1:9">
      <c r="A328">
        <v>2020</v>
      </c>
      <c r="B328" s="10" t="s">
        <v>193</v>
      </c>
      <c r="C328" s="10">
        <v>0</v>
      </c>
      <c r="D328" s="26"/>
      <c r="E328" s="26"/>
      <c r="F328" s="28"/>
      <c r="G328" s="26"/>
      <c r="H328" s="29"/>
      <c r="I328" s="29"/>
    </row>
    <row r="329" spans="1:9">
      <c r="A329">
        <v>2020</v>
      </c>
      <c r="B329" s="10" t="s">
        <v>194</v>
      </c>
      <c r="C329" s="10">
        <v>0</v>
      </c>
      <c r="D329" s="26"/>
      <c r="E329" s="26"/>
      <c r="F329" s="28"/>
      <c r="G329" s="26"/>
      <c r="H329" s="29"/>
      <c r="I329" s="29"/>
    </row>
    <row r="330" spans="1:9">
      <c r="A330">
        <v>2020</v>
      </c>
      <c r="B330" s="10" t="s">
        <v>220</v>
      </c>
      <c r="C330" s="10">
        <v>0</v>
      </c>
      <c r="D330" s="26"/>
      <c r="E330" s="26"/>
      <c r="F330" s="28"/>
      <c r="G330" s="26"/>
      <c r="H330" s="29"/>
      <c r="I330" s="29"/>
    </row>
    <row r="331" spans="1:9">
      <c r="A331">
        <v>2020</v>
      </c>
      <c r="B331" s="10" t="s">
        <v>195</v>
      </c>
      <c r="C331" s="10">
        <v>0</v>
      </c>
      <c r="D331" s="26"/>
      <c r="E331" s="26"/>
      <c r="F331" s="28"/>
      <c r="G331" s="26"/>
      <c r="H331" s="29"/>
      <c r="I331" s="29"/>
    </row>
    <row r="333" spans="1:9">
      <c r="B333" s="12" t="s">
        <v>297</v>
      </c>
      <c r="C333" s="21">
        <f>SUM(C2:C331)</f>
        <v>120247383</v>
      </c>
    </row>
    <row r="334" spans="1:9">
      <c r="B334" s="12"/>
    </row>
    <row r="335" spans="1:9">
      <c r="B335" s="12" t="s">
        <v>296</v>
      </c>
      <c r="C335" s="21">
        <v>120247389</v>
      </c>
    </row>
    <row r="337" spans="2:3">
      <c r="B337" s="13" t="s">
        <v>295</v>
      </c>
      <c r="C337" s="24">
        <f>C333-C335</f>
        <v>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15C6-373E-3243-A674-95A5D971B993}">
  <sheetPr>
    <tabColor rgb="FFFFFF00"/>
  </sheetPr>
  <dimension ref="A1:I317"/>
  <sheetViews>
    <sheetView workbookViewId="0">
      <selection activeCell="A2" sqref="A2:C311"/>
    </sheetView>
  </sheetViews>
  <sheetFormatPr baseColWidth="10" defaultRowHeight="16"/>
  <cols>
    <col min="2" max="2" width="23.6640625" style="10" bestFit="1" customWidth="1"/>
    <col min="3" max="3" width="15" style="10" bestFit="1" customWidth="1"/>
  </cols>
  <sheetData>
    <row r="1" spans="1:9">
      <c r="A1" t="s">
        <v>356</v>
      </c>
    </row>
    <row r="2" spans="1:9">
      <c r="A2">
        <v>2021</v>
      </c>
      <c r="B2" s="10" t="s">
        <v>207</v>
      </c>
      <c r="C2" s="25">
        <v>0</v>
      </c>
      <c r="D2" s="27"/>
      <c r="E2" s="27"/>
      <c r="F2" s="28"/>
      <c r="G2" s="27"/>
      <c r="H2" s="27"/>
      <c r="I2" s="27"/>
    </row>
    <row r="3" spans="1:9">
      <c r="A3">
        <v>2021</v>
      </c>
      <c r="B3" s="10" t="s">
        <v>306</v>
      </c>
      <c r="C3" s="23">
        <v>2637631</v>
      </c>
      <c r="D3" s="29"/>
      <c r="E3" s="26"/>
      <c r="F3" s="28"/>
      <c r="G3" s="29"/>
      <c r="H3" s="29"/>
      <c r="I3" s="29"/>
    </row>
    <row r="4" spans="1:9">
      <c r="A4">
        <v>2021</v>
      </c>
      <c r="B4" s="10" t="s">
        <v>210</v>
      </c>
      <c r="C4" s="10">
        <v>0</v>
      </c>
      <c r="D4" s="26"/>
      <c r="E4" s="26"/>
      <c r="F4" s="28"/>
      <c r="G4" s="26"/>
      <c r="H4" s="29"/>
      <c r="I4" s="29"/>
    </row>
    <row r="5" spans="1:9">
      <c r="A5">
        <v>2021</v>
      </c>
      <c r="B5" s="10" t="s">
        <v>204</v>
      </c>
      <c r="C5" s="10">
        <v>0</v>
      </c>
      <c r="D5" s="26"/>
      <c r="E5" s="26"/>
      <c r="F5" s="28"/>
      <c r="G5" s="26"/>
      <c r="H5" s="29"/>
      <c r="I5" s="29"/>
    </row>
    <row r="6" spans="1:9">
      <c r="A6">
        <v>2021</v>
      </c>
      <c r="B6" s="10" t="s">
        <v>307</v>
      </c>
      <c r="C6" s="23">
        <v>1323092</v>
      </c>
      <c r="D6" s="29"/>
      <c r="E6" s="26"/>
      <c r="F6" s="28"/>
      <c r="G6" s="29"/>
      <c r="H6" s="29"/>
      <c r="I6" s="29"/>
    </row>
    <row r="7" spans="1:9">
      <c r="A7">
        <v>2021</v>
      </c>
      <c r="B7" s="10" t="s">
        <v>232</v>
      </c>
      <c r="C7" s="10">
        <v>0</v>
      </c>
      <c r="D7" s="26"/>
      <c r="E7" s="26"/>
      <c r="F7" s="28"/>
      <c r="G7" s="26"/>
      <c r="H7" s="29"/>
      <c r="I7" s="29"/>
    </row>
    <row r="8" spans="1:9">
      <c r="A8">
        <v>2021</v>
      </c>
      <c r="B8" s="10" t="s">
        <v>0</v>
      </c>
      <c r="C8" s="10">
        <v>0</v>
      </c>
      <c r="D8" s="26"/>
      <c r="E8" s="26"/>
      <c r="F8" s="28"/>
      <c r="G8" s="26"/>
      <c r="H8" s="29"/>
      <c r="I8" s="29"/>
    </row>
    <row r="9" spans="1:9">
      <c r="A9">
        <v>2021</v>
      </c>
      <c r="B9" s="10" t="s">
        <v>1</v>
      </c>
      <c r="C9" s="10">
        <v>0</v>
      </c>
      <c r="D9" s="26"/>
      <c r="E9" s="26"/>
      <c r="F9" s="28"/>
      <c r="G9" s="26"/>
      <c r="H9" s="29"/>
      <c r="I9" s="29"/>
    </row>
    <row r="10" spans="1:9">
      <c r="A10">
        <v>2021</v>
      </c>
      <c r="B10" s="10" t="s">
        <v>2</v>
      </c>
      <c r="C10" s="23">
        <v>222580</v>
      </c>
      <c r="D10" s="29"/>
      <c r="E10" s="26"/>
      <c r="F10" s="28"/>
      <c r="G10" s="29"/>
      <c r="H10" s="29"/>
      <c r="I10" s="29"/>
    </row>
    <row r="11" spans="1:9">
      <c r="A11">
        <v>2021</v>
      </c>
      <c r="B11" s="10" t="s">
        <v>3</v>
      </c>
      <c r="C11" s="23">
        <v>585633</v>
      </c>
      <c r="D11" s="29"/>
      <c r="E11" s="26"/>
      <c r="F11" s="28"/>
      <c r="G11" s="29"/>
      <c r="H11" s="29"/>
      <c r="I11" s="29"/>
    </row>
    <row r="12" spans="1:9">
      <c r="A12">
        <v>2021</v>
      </c>
      <c r="B12" s="10" t="s">
        <v>4</v>
      </c>
      <c r="C12" s="10">
        <v>0</v>
      </c>
      <c r="D12" s="26"/>
      <c r="E12" s="26"/>
      <c r="F12" s="28"/>
      <c r="G12" s="26"/>
      <c r="H12" s="29"/>
      <c r="I12" s="29"/>
    </row>
    <row r="13" spans="1:9">
      <c r="A13">
        <v>2021</v>
      </c>
      <c r="B13" s="10" t="s">
        <v>5</v>
      </c>
      <c r="C13" s="10">
        <v>0</v>
      </c>
      <c r="D13" s="26"/>
      <c r="E13" s="26"/>
      <c r="F13" s="28"/>
      <c r="G13" s="26"/>
      <c r="H13" s="29"/>
      <c r="I13" s="29"/>
    </row>
    <row r="14" spans="1:9">
      <c r="A14">
        <v>2021</v>
      </c>
      <c r="B14" s="10" t="s">
        <v>6</v>
      </c>
      <c r="C14" s="10">
        <v>0</v>
      </c>
      <c r="D14" s="26"/>
      <c r="E14" s="26"/>
      <c r="F14" s="28"/>
      <c r="G14" s="26"/>
      <c r="H14" s="29"/>
      <c r="I14" s="29"/>
    </row>
    <row r="15" spans="1:9">
      <c r="A15">
        <v>2021</v>
      </c>
      <c r="B15" s="10" t="s">
        <v>7</v>
      </c>
      <c r="C15" s="10">
        <v>0</v>
      </c>
      <c r="D15" s="26"/>
      <c r="E15" s="26"/>
      <c r="F15" s="28"/>
      <c r="G15" s="26"/>
      <c r="H15" s="29"/>
      <c r="I15" s="29"/>
    </row>
    <row r="16" spans="1:9">
      <c r="A16">
        <v>2021</v>
      </c>
      <c r="B16" s="10" t="s">
        <v>285</v>
      </c>
      <c r="C16" s="10">
        <v>0</v>
      </c>
      <c r="D16" s="26"/>
      <c r="E16" s="26"/>
      <c r="F16" s="28"/>
      <c r="G16" s="26"/>
      <c r="H16" s="29"/>
      <c r="I16" s="29"/>
    </row>
    <row r="17" spans="1:9">
      <c r="A17">
        <v>2021</v>
      </c>
      <c r="B17" s="10" t="s">
        <v>8</v>
      </c>
      <c r="C17" s="10">
        <v>0</v>
      </c>
      <c r="D17" s="26"/>
      <c r="E17" s="26"/>
      <c r="F17" s="28"/>
      <c r="G17" s="26"/>
      <c r="H17" s="29"/>
      <c r="I17" s="29"/>
    </row>
    <row r="18" spans="1:9">
      <c r="A18">
        <v>2021</v>
      </c>
      <c r="B18" s="10" t="s">
        <v>336</v>
      </c>
      <c r="C18" s="23">
        <v>3251765</v>
      </c>
      <c r="D18" s="29"/>
      <c r="E18" s="26"/>
      <c r="F18" s="28"/>
      <c r="G18" s="29"/>
      <c r="H18" s="29"/>
      <c r="I18" s="29"/>
    </row>
    <row r="19" spans="1:9">
      <c r="A19">
        <v>2021</v>
      </c>
      <c r="B19" s="10" t="s">
        <v>301</v>
      </c>
      <c r="C19" s="23">
        <v>218114</v>
      </c>
      <c r="D19" s="29"/>
      <c r="E19" s="26"/>
      <c r="F19" s="28"/>
      <c r="G19" s="29"/>
      <c r="H19" s="29"/>
      <c r="I19" s="29"/>
    </row>
    <row r="20" spans="1:9">
      <c r="A20">
        <v>2021</v>
      </c>
      <c r="B20" s="10" t="s">
        <v>9</v>
      </c>
      <c r="C20" s="10">
        <v>0</v>
      </c>
      <c r="D20" s="26"/>
      <c r="E20" s="26"/>
      <c r="F20" s="28"/>
      <c r="G20" s="26"/>
      <c r="H20" s="29"/>
      <c r="I20" s="29"/>
    </row>
    <row r="21" spans="1:9">
      <c r="A21">
        <v>2021</v>
      </c>
      <c r="B21" s="10" t="s">
        <v>196</v>
      </c>
      <c r="C21" s="10">
        <v>0</v>
      </c>
      <c r="D21" s="26"/>
      <c r="E21" s="26"/>
      <c r="F21" s="28"/>
      <c r="G21" s="26"/>
      <c r="H21" s="29"/>
      <c r="I21" s="29"/>
    </row>
    <row r="22" spans="1:9">
      <c r="A22">
        <v>2021</v>
      </c>
      <c r="B22" s="10" t="s">
        <v>10</v>
      </c>
      <c r="C22" s="10">
        <v>0</v>
      </c>
      <c r="D22" s="26"/>
      <c r="E22" s="26"/>
      <c r="F22" s="28"/>
      <c r="G22" s="26"/>
      <c r="H22" s="29"/>
      <c r="I22" s="29"/>
    </row>
    <row r="23" spans="1:9">
      <c r="A23">
        <v>2021</v>
      </c>
      <c r="B23" s="10" t="s">
        <v>223</v>
      </c>
      <c r="C23" s="23">
        <v>678252</v>
      </c>
      <c r="D23" s="29"/>
      <c r="E23" s="26"/>
      <c r="F23" s="28"/>
      <c r="G23" s="29"/>
      <c r="H23" s="29"/>
      <c r="I23" s="29"/>
    </row>
    <row r="24" spans="1:9">
      <c r="A24">
        <v>2021</v>
      </c>
      <c r="B24" s="10" t="s">
        <v>11</v>
      </c>
      <c r="C24" s="10">
        <v>0</v>
      </c>
      <c r="D24" s="26"/>
      <c r="E24" s="26"/>
      <c r="F24" s="28"/>
      <c r="G24" s="26"/>
      <c r="H24" s="29"/>
      <c r="I24" s="29"/>
    </row>
    <row r="25" spans="1:9">
      <c r="A25">
        <v>2021</v>
      </c>
      <c r="B25" s="10" t="s">
        <v>12</v>
      </c>
      <c r="C25" s="10">
        <v>0</v>
      </c>
      <c r="D25" s="26"/>
      <c r="E25" s="26"/>
      <c r="F25" s="28"/>
      <c r="G25" s="26"/>
      <c r="H25" s="29"/>
      <c r="I25" s="29"/>
    </row>
    <row r="26" spans="1:9">
      <c r="A26">
        <v>2021</v>
      </c>
      <c r="B26" s="10" t="s">
        <v>13</v>
      </c>
      <c r="C26" s="10">
        <v>0</v>
      </c>
      <c r="D26" s="26"/>
      <c r="E26" s="26"/>
      <c r="F26" s="28"/>
      <c r="G26" s="26"/>
      <c r="H26" s="29"/>
      <c r="I26" s="29"/>
    </row>
    <row r="27" spans="1:9">
      <c r="A27">
        <v>2021</v>
      </c>
      <c r="B27" s="10" t="s">
        <v>14</v>
      </c>
      <c r="C27" s="10">
        <v>0</v>
      </c>
      <c r="D27" s="26"/>
      <c r="E27" s="26"/>
      <c r="F27" s="28"/>
      <c r="G27" s="26"/>
      <c r="H27" s="29"/>
      <c r="I27" s="29"/>
    </row>
    <row r="28" spans="1:9">
      <c r="A28">
        <v>2021</v>
      </c>
      <c r="B28" s="10" t="s">
        <v>264</v>
      </c>
      <c r="C28" s="23">
        <v>470729</v>
      </c>
      <c r="D28" s="29"/>
      <c r="E28" s="26"/>
      <c r="F28" s="28"/>
      <c r="G28" s="29"/>
      <c r="H28" s="29"/>
      <c r="I28" s="29"/>
    </row>
    <row r="29" spans="1:9">
      <c r="A29">
        <v>2021</v>
      </c>
      <c r="B29" s="10" t="s">
        <v>16</v>
      </c>
      <c r="C29" s="10">
        <v>0</v>
      </c>
      <c r="D29" s="26"/>
      <c r="E29" s="26"/>
      <c r="F29" s="28"/>
      <c r="G29" s="26"/>
      <c r="H29" s="29"/>
      <c r="I29" s="29"/>
    </row>
    <row r="30" spans="1:9">
      <c r="A30">
        <v>2021</v>
      </c>
      <c r="B30" s="10" t="s">
        <v>17</v>
      </c>
      <c r="C30" s="10">
        <v>0</v>
      </c>
      <c r="D30" s="26"/>
      <c r="E30" s="26"/>
      <c r="F30" s="28"/>
      <c r="G30" s="26"/>
      <c r="H30" s="29"/>
      <c r="I30" s="29"/>
    </row>
    <row r="31" spans="1:9">
      <c r="A31">
        <v>2021</v>
      </c>
      <c r="B31" s="10" t="s">
        <v>19</v>
      </c>
      <c r="C31" s="10">
        <v>0</v>
      </c>
      <c r="D31" s="26"/>
      <c r="E31" s="26"/>
      <c r="F31" s="28"/>
      <c r="G31" s="26"/>
      <c r="H31" s="29"/>
      <c r="I31" s="29"/>
    </row>
    <row r="32" spans="1:9">
      <c r="A32">
        <v>2021</v>
      </c>
      <c r="B32" s="10" t="s">
        <v>219</v>
      </c>
      <c r="C32" s="10">
        <v>0</v>
      </c>
      <c r="D32" s="26"/>
      <c r="E32" s="26"/>
      <c r="F32" s="28"/>
      <c r="G32" s="26"/>
      <c r="H32" s="29"/>
      <c r="I32" s="29"/>
    </row>
    <row r="33" spans="1:9">
      <c r="A33">
        <v>2021</v>
      </c>
      <c r="B33" s="10" t="s">
        <v>21</v>
      </c>
      <c r="C33" s="10">
        <v>0</v>
      </c>
      <c r="D33" s="26"/>
      <c r="E33" s="26"/>
      <c r="F33" s="28"/>
      <c r="G33" s="26"/>
      <c r="H33" s="29"/>
      <c r="I33" s="29"/>
    </row>
    <row r="34" spans="1:9">
      <c r="A34">
        <v>2021</v>
      </c>
      <c r="B34" s="10" t="s">
        <v>22</v>
      </c>
      <c r="C34" s="23">
        <v>136233</v>
      </c>
      <c r="D34" s="29"/>
      <c r="E34" s="26"/>
      <c r="F34" s="28"/>
      <c r="G34" s="29"/>
      <c r="H34" s="29"/>
      <c r="I34" s="29"/>
    </row>
    <row r="35" spans="1:9">
      <c r="A35">
        <v>2021</v>
      </c>
      <c r="B35" s="10" t="s">
        <v>23</v>
      </c>
      <c r="C35" s="10">
        <v>0</v>
      </c>
      <c r="D35" s="26"/>
      <c r="E35" s="26"/>
      <c r="F35" s="28"/>
      <c r="G35" s="26"/>
      <c r="H35" s="29"/>
      <c r="I35" s="29"/>
    </row>
    <row r="36" spans="1:9">
      <c r="A36">
        <v>2021</v>
      </c>
      <c r="B36" s="10" t="s">
        <v>24</v>
      </c>
      <c r="C36" s="10">
        <v>0</v>
      </c>
      <c r="D36" s="26"/>
      <c r="E36" s="26"/>
      <c r="F36" s="28"/>
      <c r="G36" s="26"/>
      <c r="H36" s="29"/>
      <c r="I36" s="29"/>
    </row>
    <row r="37" spans="1:9">
      <c r="A37">
        <v>2021</v>
      </c>
      <c r="B37" s="10" t="s">
        <v>25</v>
      </c>
      <c r="C37" s="10">
        <v>0</v>
      </c>
      <c r="D37" s="26"/>
      <c r="E37" s="26"/>
      <c r="F37" s="28"/>
      <c r="G37" s="26"/>
      <c r="H37" s="29"/>
      <c r="I37" s="29"/>
    </row>
    <row r="38" spans="1:9">
      <c r="A38">
        <v>2021</v>
      </c>
      <c r="B38" s="10" t="s">
        <v>26</v>
      </c>
      <c r="C38" s="10">
        <v>0</v>
      </c>
      <c r="D38" s="26"/>
      <c r="E38" s="26"/>
      <c r="F38" s="28"/>
      <c r="G38" s="26"/>
      <c r="H38" s="29"/>
      <c r="I38" s="29"/>
    </row>
    <row r="39" spans="1:9">
      <c r="A39">
        <v>2021</v>
      </c>
      <c r="B39" s="10" t="s">
        <v>27</v>
      </c>
      <c r="C39" s="23">
        <v>5929172</v>
      </c>
      <c r="D39" s="29"/>
      <c r="E39" s="26"/>
      <c r="F39" s="28"/>
      <c r="G39" s="29"/>
      <c r="H39" s="29"/>
      <c r="I39" s="29"/>
    </row>
    <row r="40" spans="1:9">
      <c r="A40">
        <v>2021</v>
      </c>
      <c r="B40" s="10" t="s">
        <v>197</v>
      </c>
      <c r="C40" s="23">
        <v>955466</v>
      </c>
      <c r="D40" s="29"/>
      <c r="E40" s="26"/>
      <c r="F40" s="28"/>
      <c r="G40" s="29"/>
      <c r="H40" s="29"/>
      <c r="I40" s="29"/>
    </row>
    <row r="41" spans="1:9">
      <c r="A41">
        <v>2021</v>
      </c>
      <c r="B41" s="10" t="s">
        <v>28</v>
      </c>
      <c r="C41" s="23">
        <v>230915</v>
      </c>
      <c r="D41" s="29"/>
      <c r="E41" s="26"/>
      <c r="F41" s="28"/>
      <c r="G41" s="29"/>
      <c r="H41" s="29"/>
      <c r="I41" s="29"/>
    </row>
    <row r="42" spans="1:9">
      <c r="A42">
        <v>2021</v>
      </c>
      <c r="B42" s="10" t="s">
        <v>29</v>
      </c>
      <c r="C42" s="10">
        <v>0</v>
      </c>
      <c r="D42" s="26"/>
      <c r="E42" s="26"/>
      <c r="F42" s="28"/>
      <c r="G42" s="26"/>
      <c r="H42" s="29"/>
      <c r="I42" s="29"/>
    </row>
    <row r="43" spans="1:9">
      <c r="A43">
        <v>2021</v>
      </c>
      <c r="B43" s="10" t="s">
        <v>314</v>
      </c>
      <c r="C43" s="23">
        <v>556377</v>
      </c>
      <c r="D43" s="29"/>
      <c r="E43" s="26"/>
      <c r="F43" s="28"/>
      <c r="G43" s="29"/>
      <c r="H43" s="29"/>
      <c r="I43" s="29"/>
    </row>
    <row r="44" spans="1:9">
      <c r="A44">
        <v>2021</v>
      </c>
      <c r="B44" s="10" t="s">
        <v>241</v>
      </c>
      <c r="C44" s="23">
        <v>442952</v>
      </c>
      <c r="D44" s="29"/>
      <c r="E44" s="26"/>
      <c r="F44" s="28"/>
      <c r="G44" s="29"/>
      <c r="H44" s="29"/>
      <c r="I44" s="29"/>
    </row>
    <row r="45" spans="1:9">
      <c r="A45">
        <v>2021</v>
      </c>
      <c r="B45" s="10" t="s">
        <v>252</v>
      </c>
      <c r="C45" s="10">
        <v>0</v>
      </c>
      <c r="D45" s="26"/>
      <c r="E45" s="26"/>
      <c r="F45" s="28"/>
      <c r="G45" s="26"/>
      <c r="H45" s="29"/>
      <c r="I45" s="29"/>
    </row>
    <row r="46" spans="1:9">
      <c r="A46">
        <v>2021</v>
      </c>
      <c r="B46" s="10" t="s">
        <v>30</v>
      </c>
      <c r="C46" s="23">
        <v>293588</v>
      </c>
      <c r="D46" s="29"/>
      <c r="E46" s="26"/>
      <c r="F46" s="28"/>
      <c r="G46" s="29"/>
      <c r="H46" s="29"/>
      <c r="I46" s="29"/>
    </row>
    <row r="47" spans="1:9">
      <c r="A47">
        <v>2021</v>
      </c>
      <c r="B47" s="10" t="s">
        <v>31</v>
      </c>
      <c r="C47" s="23">
        <v>322001</v>
      </c>
      <c r="D47" s="29"/>
      <c r="E47" s="26"/>
      <c r="F47" s="28"/>
      <c r="G47" s="29"/>
      <c r="H47" s="29"/>
      <c r="I47" s="29"/>
    </row>
    <row r="48" spans="1:9">
      <c r="A48">
        <v>2021</v>
      </c>
      <c r="B48" s="10" t="s">
        <v>32</v>
      </c>
      <c r="C48" s="10">
        <v>0</v>
      </c>
      <c r="D48" s="26"/>
      <c r="E48" s="26"/>
      <c r="F48" s="28"/>
      <c r="G48" s="26"/>
      <c r="H48" s="29"/>
      <c r="I48" s="29"/>
    </row>
    <row r="49" spans="1:9">
      <c r="A49">
        <v>2021</v>
      </c>
      <c r="B49" s="10" t="s">
        <v>33</v>
      </c>
      <c r="C49" s="10">
        <v>0</v>
      </c>
      <c r="D49" s="26"/>
      <c r="E49" s="26"/>
      <c r="F49" s="28"/>
      <c r="G49" s="26"/>
      <c r="H49" s="29"/>
      <c r="I49" s="29"/>
    </row>
    <row r="50" spans="1:9">
      <c r="A50">
        <v>2021</v>
      </c>
      <c r="B50" s="10" t="s">
        <v>315</v>
      </c>
      <c r="C50" s="23">
        <v>452363</v>
      </c>
      <c r="D50" s="29"/>
      <c r="E50" s="26"/>
      <c r="F50" s="28"/>
      <c r="G50" s="29"/>
      <c r="H50" s="29"/>
      <c r="I50" s="29"/>
    </row>
    <row r="51" spans="1:9">
      <c r="A51">
        <v>2021</v>
      </c>
      <c r="B51" s="10" t="s">
        <v>337</v>
      </c>
      <c r="C51" s="23">
        <v>261763</v>
      </c>
      <c r="D51" s="29"/>
      <c r="E51" s="26"/>
      <c r="F51" s="28"/>
      <c r="G51" s="29"/>
      <c r="H51" s="29"/>
      <c r="I51" s="29"/>
    </row>
    <row r="52" spans="1:9">
      <c r="A52">
        <v>2021</v>
      </c>
      <c r="B52" s="10" t="s">
        <v>308</v>
      </c>
      <c r="C52" s="23">
        <v>6253217</v>
      </c>
      <c r="D52" s="29"/>
      <c r="E52" s="26"/>
      <c r="F52" s="28"/>
      <c r="G52" s="29"/>
      <c r="H52" s="29"/>
      <c r="I52" s="29"/>
    </row>
    <row r="53" spans="1:9">
      <c r="A53">
        <v>2021</v>
      </c>
      <c r="B53" s="10" t="s">
        <v>229</v>
      </c>
      <c r="C53" s="10">
        <v>0</v>
      </c>
      <c r="D53" s="26"/>
      <c r="E53" s="26"/>
      <c r="F53" s="28"/>
      <c r="G53" s="26"/>
      <c r="H53" s="29"/>
      <c r="I53" s="29"/>
    </row>
    <row r="54" spans="1:9">
      <c r="A54">
        <v>2021</v>
      </c>
      <c r="B54" s="10" t="s">
        <v>34</v>
      </c>
      <c r="C54" s="23">
        <v>153780</v>
      </c>
      <c r="D54" s="29"/>
      <c r="E54" s="26"/>
      <c r="F54" s="28"/>
      <c r="G54" s="29"/>
      <c r="H54" s="29"/>
      <c r="I54" s="29"/>
    </row>
    <row r="55" spans="1:9">
      <c r="A55">
        <v>2021</v>
      </c>
      <c r="B55" s="10" t="s">
        <v>35</v>
      </c>
      <c r="C55" s="10">
        <v>0</v>
      </c>
      <c r="D55" s="26"/>
      <c r="E55" s="26"/>
      <c r="F55" s="28"/>
      <c r="G55" s="26"/>
      <c r="H55" s="29"/>
      <c r="I55" s="29"/>
    </row>
    <row r="56" spans="1:9">
      <c r="A56">
        <v>2021</v>
      </c>
      <c r="B56" s="10" t="s">
        <v>36</v>
      </c>
      <c r="C56" s="10">
        <v>0</v>
      </c>
      <c r="D56" s="26"/>
      <c r="E56" s="26"/>
      <c r="F56" s="28"/>
      <c r="G56" s="26"/>
      <c r="H56" s="29"/>
      <c r="I56" s="29"/>
    </row>
    <row r="57" spans="1:9">
      <c r="A57">
        <v>2021</v>
      </c>
      <c r="B57" s="10" t="s">
        <v>222</v>
      </c>
      <c r="C57" s="10">
        <v>0</v>
      </c>
      <c r="D57" s="26"/>
      <c r="E57" s="26"/>
      <c r="F57" s="28"/>
      <c r="G57" s="26"/>
      <c r="H57" s="29"/>
      <c r="I57" s="29"/>
    </row>
    <row r="58" spans="1:9">
      <c r="A58">
        <v>2021</v>
      </c>
      <c r="B58" s="10" t="s">
        <v>234</v>
      </c>
      <c r="C58" s="10">
        <v>0</v>
      </c>
      <c r="D58" s="26"/>
      <c r="E58" s="26"/>
      <c r="F58" s="28"/>
      <c r="G58" s="26"/>
      <c r="H58" s="29"/>
      <c r="I58" s="29"/>
    </row>
    <row r="59" spans="1:9">
      <c r="A59">
        <v>2021</v>
      </c>
      <c r="B59" s="10" t="s">
        <v>231</v>
      </c>
      <c r="C59" s="10">
        <v>0</v>
      </c>
      <c r="D59" s="26"/>
      <c r="E59" s="26"/>
      <c r="F59" s="28"/>
      <c r="G59" s="26"/>
      <c r="H59" s="29"/>
      <c r="I59" s="29"/>
    </row>
    <row r="60" spans="1:9">
      <c r="A60">
        <v>2021</v>
      </c>
      <c r="B60" s="10" t="s">
        <v>38</v>
      </c>
      <c r="C60" s="23">
        <v>3205847</v>
      </c>
      <c r="D60" s="29"/>
      <c r="E60" s="26"/>
      <c r="F60" s="28"/>
      <c r="G60" s="29"/>
      <c r="H60" s="29"/>
      <c r="I60" s="29"/>
    </row>
    <row r="61" spans="1:9">
      <c r="A61">
        <v>2021</v>
      </c>
      <c r="B61" s="10" t="s">
        <v>39</v>
      </c>
      <c r="C61" s="10">
        <v>0</v>
      </c>
      <c r="D61" s="26"/>
      <c r="E61" s="26"/>
      <c r="F61" s="28"/>
      <c r="G61" s="26"/>
      <c r="H61" s="29"/>
      <c r="I61" s="29"/>
    </row>
    <row r="62" spans="1:9">
      <c r="A62">
        <v>2021</v>
      </c>
      <c r="B62" s="10" t="s">
        <v>40</v>
      </c>
      <c r="C62" s="10">
        <v>0</v>
      </c>
      <c r="D62" s="26"/>
      <c r="E62" s="26"/>
      <c r="F62" s="28"/>
      <c r="G62" s="26"/>
      <c r="H62" s="29"/>
      <c r="I62" s="29"/>
    </row>
    <row r="63" spans="1:9">
      <c r="A63">
        <v>2021</v>
      </c>
      <c r="B63" s="10" t="s">
        <v>41</v>
      </c>
      <c r="C63" s="23">
        <v>145143</v>
      </c>
      <c r="D63" s="29"/>
      <c r="E63" s="26"/>
      <c r="F63" s="28"/>
      <c r="G63" s="29"/>
      <c r="H63" s="29"/>
      <c r="I63" s="29"/>
    </row>
    <row r="64" spans="1:9">
      <c r="A64">
        <v>2021</v>
      </c>
      <c r="B64" s="10" t="s">
        <v>42</v>
      </c>
      <c r="C64" s="23">
        <v>190661</v>
      </c>
      <c r="D64" s="29"/>
      <c r="E64" s="26"/>
      <c r="F64" s="28"/>
      <c r="G64" s="29"/>
      <c r="H64" s="29"/>
      <c r="I64" s="29"/>
    </row>
    <row r="65" spans="1:9">
      <c r="A65">
        <v>2021</v>
      </c>
      <c r="B65" s="10" t="s">
        <v>43</v>
      </c>
      <c r="C65" s="23">
        <v>422871</v>
      </c>
      <c r="D65" s="29"/>
      <c r="E65" s="26"/>
      <c r="F65" s="28"/>
      <c r="G65" s="29"/>
      <c r="H65" s="29"/>
      <c r="I65" s="29"/>
    </row>
    <row r="66" spans="1:9">
      <c r="A66">
        <v>2021</v>
      </c>
      <c r="B66" s="10" t="s">
        <v>201</v>
      </c>
      <c r="C66" s="23">
        <v>16761</v>
      </c>
      <c r="D66" s="29"/>
      <c r="E66" s="26"/>
      <c r="F66" s="28"/>
      <c r="G66" s="29"/>
      <c r="H66" s="29"/>
      <c r="I66" s="29"/>
    </row>
    <row r="67" spans="1:9">
      <c r="A67">
        <v>2021</v>
      </c>
      <c r="B67" s="10" t="s">
        <v>202</v>
      </c>
      <c r="C67" s="10">
        <v>0</v>
      </c>
      <c r="D67" s="26"/>
      <c r="E67" s="26"/>
      <c r="F67" s="28"/>
      <c r="G67" s="26"/>
      <c r="H67" s="29"/>
      <c r="I67" s="29"/>
    </row>
    <row r="68" spans="1:9">
      <c r="A68">
        <v>2021</v>
      </c>
      <c r="B68" s="10" t="s">
        <v>44</v>
      </c>
      <c r="C68" s="23">
        <v>371016</v>
      </c>
      <c r="D68" s="29"/>
      <c r="E68" s="26"/>
      <c r="F68" s="28"/>
      <c r="G68" s="29"/>
      <c r="H68" s="29"/>
      <c r="I68" s="29"/>
    </row>
    <row r="69" spans="1:9">
      <c r="A69">
        <v>2021</v>
      </c>
      <c r="B69" s="10" t="s">
        <v>45</v>
      </c>
      <c r="C69" s="10">
        <v>0</v>
      </c>
      <c r="D69" s="26"/>
      <c r="E69" s="26"/>
      <c r="F69" s="28"/>
      <c r="G69" s="26"/>
      <c r="H69" s="29"/>
      <c r="I69" s="29"/>
    </row>
    <row r="70" spans="1:9">
      <c r="A70">
        <v>2021</v>
      </c>
      <c r="B70" s="10" t="s">
        <v>46</v>
      </c>
      <c r="C70" s="10">
        <v>0</v>
      </c>
      <c r="D70" s="26"/>
      <c r="E70" s="26"/>
      <c r="F70" s="28"/>
      <c r="G70" s="26"/>
      <c r="H70" s="29"/>
      <c r="I70" s="29"/>
    </row>
    <row r="71" spans="1:9">
      <c r="A71">
        <v>2021</v>
      </c>
      <c r="B71" s="10" t="s">
        <v>47</v>
      </c>
      <c r="C71" s="10">
        <v>0</v>
      </c>
      <c r="D71" s="26"/>
      <c r="E71" s="26"/>
      <c r="F71" s="28"/>
      <c r="G71" s="26"/>
      <c r="H71" s="29"/>
      <c r="I71" s="29"/>
    </row>
    <row r="72" spans="1:9">
      <c r="A72">
        <v>2021</v>
      </c>
      <c r="B72" s="10" t="s">
        <v>48</v>
      </c>
      <c r="C72" s="10">
        <v>0</v>
      </c>
      <c r="D72" s="26"/>
      <c r="E72" s="26"/>
      <c r="F72" s="28"/>
      <c r="G72" s="26"/>
      <c r="H72" s="29"/>
      <c r="I72" s="29"/>
    </row>
    <row r="73" spans="1:9">
      <c r="A73">
        <v>2021</v>
      </c>
      <c r="B73" s="10" t="s">
        <v>316</v>
      </c>
      <c r="C73" s="23">
        <v>172841</v>
      </c>
      <c r="D73" s="29"/>
      <c r="E73" s="26"/>
      <c r="F73" s="28"/>
      <c r="G73" s="29"/>
      <c r="H73" s="29"/>
      <c r="I73" s="29"/>
    </row>
    <row r="74" spans="1:9">
      <c r="A74">
        <v>2021</v>
      </c>
      <c r="B74" s="10" t="s">
        <v>49</v>
      </c>
      <c r="C74" s="10">
        <v>0</v>
      </c>
      <c r="D74" s="26"/>
      <c r="E74" s="26"/>
      <c r="F74" s="28"/>
      <c r="G74" s="26"/>
      <c r="H74" s="29"/>
      <c r="I74" s="29"/>
    </row>
    <row r="75" spans="1:9">
      <c r="A75">
        <v>2021</v>
      </c>
      <c r="B75" s="10" t="s">
        <v>302</v>
      </c>
      <c r="C75" s="10">
        <v>0</v>
      </c>
      <c r="D75" s="26"/>
      <c r="E75" s="26"/>
      <c r="F75" s="28"/>
      <c r="G75" s="26"/>
      <c r="H75" s="29"/>
      <c r="I75" s="29"/>
    </row>
    <row r="76" spans="1:9">
      <c r="A76">
        <v>2021</v>
      </c>
      <c r="B76" s="10" t="s">
        <v>51</v>
      </c>
      <c r="C76" s="10">
        <v>0</v>
      </c>
      <c r="D76" s="26"/>
      <c r="E76" s="26"/>
      <c r="F76" s="28"/>
      <c r="G76" s="26"/>
      <c r="H76" s="29"/>
      <c r="I76" s="29"/>
    </row>
    <row r="77" spans="1:9">
      <c r="A77">
        <v>2021</v>
      </c>
      <c r="B77" s="10" t="s">
        <v>338</v>
      </c>
      <c r="C77" s="23">
        <v>1168199</v>
      </c>
      <c r="D77" s="29"/>
      <c r="E77" s="26"/>
      <c r="F77" s="28"/>
      <c r="G77" s="29"/>
      <c r="H77" s="29"/>
      <c r="I77" s="29"/>
    </row>
    <row r="78" spans="1:9">
      <c r="A78">
        <v>2021</v>
      </c>
      <c r="B78" s="10" t="s">
        <v>240</v>
      </c>
      <c r="C78" s="10">
        <v>0</v>
      </c>
      <c r="D78" s="26"/>
      <c r="E78" s="26"/>
      <c r="F78" s="28"/>
      <c r="G78" s="26"/>
      <c r="H78" s="29"/>
      <c r="I78" s="29"/>
    </row>
    <row r="79" spans="1:9">
      <c r="A79">
        <v>2021</v>
      </c>
      <c r="B79" s="10" t="s">
        <v>52</v>
      </c>
      <c r="C79" s="10">
        <v>0</v>
      </c>
      <c r="D79" s="26"/>
      <c r="E79" s="26"/>
      <c r="F79" s="28"/>
      <c r="G79" s="26"/>
      <c r="H79" s="29"/>
      <c r="I79" s="29"/>
    </row>
    <row r="80" spans="1:9">
      <c r="A80">
        <v>2021</v>
      </c>
      <c r="B80" s="10" t="s">
        <v>53</v>
      </c>
      <c r="C80" s="10">
        <v>0</v>
      </c>
      <c r="D80" s="26"/>
      <c r="E80" s="26"/>
      <c r="F80" s="28"/>
      <c r="G80" s="26"/>
      <c r="H80" s="29"/>
      <c r="I80" s="29"/>
    </row>
    <row r="81" spans="1:9">
      <c r="A81">
        <v>2021</v>
      </c>
      <c r="B81" s="10" t="s">
        <v>54</v>
      </c>
      <c r="C81" s="10">
        <v>0</v>
      </c>
      <c r="D81" s="26"/>
      <c r="E81" s="26"/>
      <c r="F81" s="28"/>
      <c r="G81" s="26"/>
      <c r="H81" s="29"/>
      <c r="I81" s="29"/>
    </row>
    <row r="82" spans="1:9">
      <c r="A82">
        <v>2021</v>
      </c>
      <c r="B82" s="10" t="s">
        <v>309</v>
      </c>
      <c r="C82" s="23">
        <v>6496152</v>
      </c>
      <c r="D82" s="29"/>
      <c r="E82" s="26"/>
      <c r="F82" s="28"/>
      <c r="G82" s="29"/>
      <c r="H82" s="29"/>
      <c r="I82" s="29"/>
    </row>
    <row r="83" spans="1:9">
      <c r="A83">
        <v>2021</v>
      </c>
      <c r="B83" s="10" t="s">
        <v>55</v>
      </c>
      <c r="C83" s="10">
        <v>0</v>
      </c>
      <c r="D83" s="26"/>
      <c r="E83" s="26"/>
      <c r="F83" s="28"/>
      <c r="G83" s="26"/>
      <c r="H83" s="29"/>
      <c r="I83" s="29"/>
    </row>
    <row r="84" spans="1:9">
      <c r="A84">
        <v>2021</v>
      </c>
      <c r="B84" s="10" t="s">
        <v>228</v>
      </c>
      <c r="C84" s="10">
        <v>0</v>
      </c>
      <c r="D84" s="26"/>
      <c r="E84" s="26"/>
      <c r="F84" s="28"/>
      <c r="G84" s="26"/>
      <c r="H84" s="29"/>
      <c r="I84" s="29"/>
    </row>
    <row r="85" spans="1:9">
      <c r="A85">
        <v>2021</v>
      </c>
      <c r="B85" s="10" t="s">
        <v>56</v>
      </c>
      <c r="C85" s="23">
        <v>901857</v>
      </c>
      <c r="D85" s="29"/>
      <c r="E85" s="26"/>
      <c r="F85" s="28"/>
      <c r="G85" s="29"/>
      <c r="H85" s="29"/>
      <c r="I85" s="29"/>
    </row>
    <row r="86" spans="1:9">
      <c r="A86">
        <v>2021</v>
      </c>
      <c r="B86" s="10" t="s">
        <v>57</v>
      </c>
      <c r="C86" s="10">
        <v>0</v>
      </c>
      <c r="D86" s="26"/>
      <c r="E86" s="26"/>
      <c r="F86" s="28"/>
      <c r="G86" s="26"/>
      <c r="H86" s="29"/>
      <c r="I86" s="29"/>
    </row>
    <row r="87" spans="1:9">
      <c r="A87">
        <v>2021</v>
      </c>
      <c r="B87" s="10" t="s">
        <v>58</v>
      </c>
      <c r="C87" s="10">
        <v>0</v>
      </c>
      <c r="D87" s="26"/>
      <c r="E87" s="26"/>
      <c r="F87" s="28"/>
      <c r="G87" s="26"/>
      <c r="H87" s="29"/>
      <c r="I87" s="29"/>
    </row>
    <row r="88" spans="1:9">
      <c r="A88">
        <v>2021</v>
      </c>
      <c r="B88" s="10" t="s">
        <v>59</v>
      </c>
      <c r="C88" s="10">
        <v>0</v>
      </c>
      <c r="D88" s="26"/>
      <c r="E88" s="26"/>
      <c r="F88" s="28"/>
      <c r="G88" s="26"/>
      <c r="H88" s="29"/>
      <c r="I88" s="29"/>
    </row>
    <row r="89" spans="1:9">
      <c r="A89">
        <v>2021</v>
      </c>
      <c r="B89" s="10" t="s">
        <v>317</v>
      </c>
      <c r="C89" s="23">
        <v>327341</v>
      </c>
      <c r="D89" s="29"/>
      <c r="E89" s="26"/>
      <c r="F89" s="28"/>
      <c r="G89" s="29"/>
      <c r="H89" s="29"/>
      <c r="I89" s="29"/>
    </row>
    <row r="90" spans="1:9">
      <c r="A90">
        <v>2021</v>
      </c>
      <c r="B90" s="10" t="s">
        <v>60</v>
      </c>
      <c r="C90" s="23">
        <v>130221</v>
      </c>
      <c r="D90" s="29"/>
      <c r="E90" s="26"/>
      <c r="F90" s="28"/>
      <c r="G90" s="29"/>
      <c r="H90" s="29"/>
      <c r="I90" s="29"/>
    </row>
    <row r="91" spans="1:9">
      <c r="A91">
        <v>2021</v>
      </c>
      <c r="B91" s="10" t="s">
        <v>282</v>
      </c>
      <c r="C91" s="10">
        <v>0</v>
      </c>
      <c r="D91" s="26"/>
      <c r="E91" s="26"/>
      <c r="F91" s="28"/>
      <c r="G91" s="26"/>
      <c r="H91" s="29"/>
      <c r="I91" s="29"/>
    </row>
    <row r="92" spans="1:9">
      <c r="A92">
        <v>2021</v>
      </c>
      <c r="B92" s="10" t="s">
        <v>237</v>
      </c>
      <c r="C92" s="23">
        <v>575358</v>
      </c>
      <c r="D92" s="29"/>
      <c r="E92" s="26"/>
      <c r="F92" s="28"/>
      <c r="G92" s="29"/>
      <c r="H92" s="29"/>
      <c r="I92" s="29"/>
    </row>
    <row r="93" spans="1:9">
      <c r="A93">
        <v>2021</v>
      </c>
      <c r="B93" s="10" t="s">
        <v>235</v>
      </c>
      <c r="C93" s="10">
        <v>0</v>
      </c>
      <c r="D93" s="26"/>
      <c r="E93" s="26"/>
      <c r="F93" s="28"/>
      <c r="G93" s="26"/>
      <c r="H93" s="29"/>
      <c r="I93" s="29"/>
    </row>
    <row r="94" spans="1:9">
      <c r="A94">
        <v>2021</v>
      </c>
      <c r="B94" s="10" t="s">
        <v>61</v>
      </c>
      <c r="C94" s="10">
        <v>0</v>
      </c>
      <c r="D94" s="26"/>
      <c r="E94" s="26"/>
      <c r="F94" s="28"/>
      <c r="G94" s="26"/>
      <c r="H94" s="29"/>
      <c r="I94" s="29"/>
    </row>
    <row r="95" spans="1:9">
      <c r="A95">
        <v>2021</v>
      </c>
      <c r="B95" s="10" t="s">
        <v>253</v>
      </c>
      <c r="C95" s="23">
        <v>390421</v>
      </c>
      <c r="D95" s="29"/>
      <c r="E95" s="26"/>
      <c r="F95" s="28"/>
      <c r="G95" s="29"/>
      <c r="H95" s="29"/>
      <c r="I95" s="29"/>
    </row>
    <row r="96" spans="1:9">
      <c r="A96">
        <v>2021</v>
      </c>
      <c r="B96" s="10" t="s">
        <v>62</v>
      </c>
      <c r="C96" s="23">
        <v>679997</v>
      </c>
      <c r="D96" s="29"/>
      <c r="E96" s="26"/>
      <c r="F96" s="28"/>
      <c r="G96" s="29"/>
      <c r="H96" s="29"/>
      <c r="I96" s="29"/>
    </row>
    <row r="97" spans="1:9">
      <c r="A97">
        <v>2021</v>
      </c>
      <c r="B97" s="10" t="s">
        <v>63</v>
      </c>
      <c r="C97" s="10">
        <v>0</v>
      </c>
      <c r="D97" s="26"/>
      <c r="E97" s="26"/>
      <c r="F97" s="28"/>
      <c r="G97" s="26"/>
      <c r="H97" s="29"/>
      <c r="I97" s="29"/>
    </row>
    <row r="98" spans="1:9">
      <c r="A98">
        <v>2021</v>
      </c>
      <c r="B98" s="10" t="s">
        <v>64</v>
      </c>
      <c r="C98" s="10">
        <v>0</v>
      </c>
      <c r="D98" s="26"/>
      <c r="E98" s="26"/>
      <c r="F98" s="28"/>
      <c r="G98" s="26"/>
      <c r="H98" s="29"/>
      <c r="I98" s="29"/>
    </row>
    <row r="99" spans="1:9">
      <c r="A99">
        <v>2021</v>
      </c>
      <c r="B99" s="10" t="s">
        <v>65</v>
      </c>
      <c r="C99" s="10">
        <v>0</v>
      </c>
      <c r="D99" s="26"/>
      <c r="E99" s="26"/>
      <c r="F99" s="28"/>
      <c r="G99" s="26"/>
      <c r="H99" s="29"/>
      <c r="I99" s="29"/>
    </row>
    <row r="100" spans="1:9">
      <c r="A100">
        <v>2021</v>
      </c>
      <c r="B100" s="10" t="s">
        <v>208</v>
      </c>
      <c r="C100" s="23">
        <v>217361</v>
      </c>
      <c r="D100" s="29"/>
      <c r="E100" s="26"/>
      <c r="F100" s="28"/>
      <c r="G100" s="29"/>
      <c r="H100" s="29"/>
      <c r="I100" s="29"/>
    </row>
    <row r="101" spans="1:9">
      <c r="A101">
        <v>2021</v>
      </c>
      <c r="B101" s="10" t="s">
        <v>318</v>
      </c>
      <c r="C101" s="23">
        <v>539816</v>
      </c>
      <c r="D101" s="29"/>
      <c r="E101" s="26"/>
      <c r="F101" s="28"/>
      <c r="G101" s="29"/>
      <c r="H101" s="29"/>
      <c r="I101" s="29"/>
    </row>
    <row r="102" spans="1:9">
      <c r="A102">
        <v>2021</v>
      </c>
      <c r="B102" s="10" t="s">
        <v>265</v>
      </c>
      <c r="C102" s="10">
        <v>0</v>
      </c>
      <c r="D102" s="26"/>
      <c r="E102" s="26"/>
      <c r="F102" s="28"/>
      <c r="G102" s="26"/>
      <c r="H102" s="29"/>
      <c r="I102" s="29"/>
    </row>
    <row r="103" spans="1:9">
      <c r="A103">
        <v>2021</v>
      </c>
      <c r="B103" s="10" t="s">
        <v>319</v>
      </c>
      <c r="C103" s="23">
        <v>726797</v>
      </c>
      <c r="D103" s="29"/>
      <c r="E103" s="26"/>
      <c r="F103" s="28"/>
      <c r="G103" s="29"/>
      <c r="H103" s="29"/>
      <c r="I103" s="29"/>
    </row>
    <row r="104" spans="1:9">
      <c r="A104">
        <v>2021</v>
      </c>
      <c r="B104" s="10" t="s">
        <v>68</v>
      </c>
      <c r="C104" s="10">
        <v>0</v>
      </c>
      <c r="D104" s="26"/>
      <c r="E104" s="26"/>
      <c r="F104" s="28"/>
      <c r="G104" s="26"/>
      <c r="H104" s="29"/>
      <c r="I104" s="29"/>
    </row>
    <row r="105" spans="1:9">
      <c r="A105">
        <v>2021</v>
      </c>
      <c r="B105" s="10" t="s">
        <v>69</v>
      </c>
      <c r="C105" s="10">
        <v>0</v>
      </c>
      <c r="D105" s="26"/>
      <c r="E105" s="26"/>
      <c r="F105" s="28"/>
      <c r="G105" s="26"/>
      <c r="H105" s="29"/>
      <c r="I105" s="29"/>
    </row>
    <row r="106" spans="1:9">
      <c r="A106">
        <v>2021</v>
      </c>
      <c r="B106" s="10" t="s">
        <v>289</v>
      </c>
      <c r="C106" s="23">
        <v>249597</v>
      </c>
      <c r="D106" s="29"/>
      <c r="E106" s="26"/>
      <c r="F106" s="28"/>
      <c r="G106" s="29"/>
      <c r="H106" s="29"/>
      <c r="I106" s="29"/>
    </row>
    <row r="107" spans="1:9">
      <c r="A107">
        <v>2021</v>
      </c>
      <c r="B107" s="10" t="s">
        <v>70</v>
      </c>
      <c r="C107" s="10">
        <v>0</v>
      </c>
      <c r="D107" s="26"/>
      <c r="E107" s="26"/>
      <c r="F107" s="28"/>
      <c r="G107" s="26"/>
      <c r="H107" s="29"/>
      <c r="I107" s="29"/>
    </row>
    <row r="108" spans="1:9">
      <c r="A108">
        <v>2021</v>
      </c>
      <c r="B108" s="10" t="s">
        <v>71</v>
      </c>
      <c r="C108" s="23">
        <v>2799793</v>
      </c>
      <c r="D108" s="29"/>
      <c r="E108" s="26"/>
      <c r="F108" s="28"/>
      <c r="G108" s="29"/>
      <c r="H108" s="29"/>
      <c r="I108" s="29"/>
    </row>
    <row r="109" spans="1:9">
      <c r="A109">
        <v>2021</v>
      </c>
      <c r="B109" s="10" t="s">
        <v>72</v>
      </c>
      <c r="C109" s="23">
        <v>324946</v>
      </c>
      <c r="D109" s="29"/>
      <c r="E109" s="26"/>
      <c r="F109" s="28"/>
      <c r="G109" s="29"/>
      <c r="H109" s="29"/>
      <c r="I109" s="29"/>
    </row>
    <row r="110" spans="1:9">
      <c r="A110">
        <v>2021</v>
      </c>
      <c r="B110" s="10" t="s">
        <v>310</v>
      </c>
      <c r="C110" s="23">
        <v>2810728</v>
      </c>
      <c r="D110" s="29"/>
      <c r="E110" s="26"/>
      <c r="F110" s="28"/>
      <c r="G110" s="29"/>
      <c r="H110" s="29"/>
      <c r="I110" s="29"/>
    </row>
    <row r="111" spans="1:9">
      <c r="A111">
        <v>2021</v>
      </c>
      <c r="B111" s="10" t="s">
        <v>239</v>
      </c>
      <c r="C111" s="10">
        <v>0</v>
      </c>
      <c r="D111" s="26"/>
      <c r="E111" s="26"/>
      <c r="F111" s="28"/>
      <c r="G111" s="26"/>
      <c r="H111" s="29"/>
      <c r="I111" s="29"/>
    </row>
    <row r="112" spans="1:9">
      <c r="A112">
        <v>2021</v>
      </c>
      <c r="B112" s="10" t="s">
        <v>262</v>
      </c>
      <c r="C112" s="23">
        <v>359954</v>
      </c>
      <c r="D112" s="29"/>
      <c r="E112" s="26"/>
      <c r="F112" s="28"/>
      <c r="G112" s="29"/>
      <c r="H112" s="29"/>
      <c r="I112" s="29"/>
    </row>
    <row r="113" spans="1:9">
      <c r="A113">
        <v>2021</v>
      </c>
      <c r="B113" s="10" t="s">
        <v>73</v>
      </c>
      <c r="C113" s="10">
        <v>0</v>
      </c>
      <c r="D113" s="26"/>
      <c r="E113" s="26"/>
      <c r="F113" s="28"/>
      <c r="G113" s="26"/>
      <c r="H113" s="29"/>
      <c r="I113" s="29"/>
    </row>
    <row r="114" spans="1:9">
      <c r="A114">
        <v>2021</v>
      </c>
      <c r="B114" s="10" t="s">
        <v>74</v>
      </c>
      <c r="C114" s="10">
        <v>0</v>
      </c>
      <c r="D114" s="26"/>
      <c r="E114" s="26"/>
      <c r="F114" s="28"/>
      <c r="G114" s="26"/>
      <c r="H114" s="29"/>
      <c r="I114" s="29"/>
    </row>
    <row r="115" spans="1:9">
      <c r="A115">
        <v>2021</v>
      </c>
      <c r="B115" s="10" t="s">
        <v>75</v>
      </c>
      <c r="C115" s="10">
        <v>0</v>
      </c>
      <c r="D115" s="26"/>
      <c r="E115" s="26"/>
      <c r="F115" s="28"/>
      <c r="G115" s="26"/>
      <c r="H115" s="29"/>
      <c r="I115" s="29"/>
    </row>
    <row r="116" spans="1:9">
      <c r="A116">
        <v>2021</v>
      </c>
      <c r="B116" s="10" t="s">
        <v>76</v>
      </c>
      <c r="C116" s="10">
        <v>0</v>
      </c>
      <c r="D116" s="26"/>
      <c r="E116" s="26"/>
      <c r="F116" s="28"/>
      <c r="G116" s="26"/>
      <c r="H116" s="29"/>
      <c r="I116" s="29"/>
    </row>
    <row r="117" spans="1:9">
      <c r="A117">
        <v>2021</v>
      </c>
      <c r="B117" s="10" t="s">
        <v>77</v>
      </c>
      <c r="C117" s="10">
        <v>0</v>
      </c>
      <c r="D117" s="26"/>
      <c r="E117" s="26"/>
      <c r="F117" s="28"/>
      <c r="G117" s="26"/>
      <c r="H117" s="29"/>
      <c r="I117" s="29"/>
    </row>
    <row r="118" spans="1:9">
      <c r="A118">
        <v>2021</v>
      </c>
      <c r="B118" s="10" t="s">
        <v>78</v>
      </c>
      <c r="C118" s="10">
        <v>0</v>
      </c>
      <c r="D118" s="26"/>
      <c r="E118" s="26"/>
      <c r="F118" s="28"/>
      <c r="G118" s="26"/>
      <c r="H118" s="29"/>
      <c r="I118" s="29"/>
    </row>
    <row r="119" spans="1:9">
      <c r="A119">
        <v>2021</v>
      </c>
      <c r="B119" s="10" t="s">
        <v>79</v>
      </c>
      <c r="C119" s="10">
        <v>0</v>
      </c>
      <c r="D119" s="26"/>
      <c r="E119" s="26"/>
      <c r="F119" s="28"/>
      <c r="G119" s="26"/>
      <c r="H119" s="29"/>
      <c r="I119" s="29"/>
    </row>
    <row r="120" spans="1:9">
      <c r="A120">
        <v>2021</v>
      </c>
      <c r="B120" s="10" t="s">
        <v>80</v>
      </c>
      <c r="C120" s="10">
        <v>0</v>
      </c>
      <c r="D120" s="26"/>
      <c r="E120" s="26"/>
      <c r="F120" s="28"/>
      <c r="G120" s="26"/>
      <c r="H120" s="29"/>
      <c r="I120" s="29"/>
    </row>
    <row r="121" spans="1:9">
      <c r="A121">
        <v>2021</v>
      </c>
      <c r="B121" s="10" t="s">
        <v>81</v>
      </c>
      <c r="C121" s="23">
        <v>108196</v>
      </c>
      <c r="D121" s="29"/>
      <c r="E121" s="26"/>
      <c r="F121" s="28"/>
      <c r="G121" s="29"/>
      <c r="H121" s="29"/>
      <c r="I121" s="29"/>
    </row>
    <row r="122" spans="1:9">
      <c r="A122">
        <v>2021</v>
      </c>
      <c r="B122" s="10" t="s">
        <v>83</v>
      </c>
      <c r="C122" s="10">
        <v>0</v>
      </c>
      <c r="D122" s="26"/>
      <c r="E122" s="26"/>
      <c r="F122" s="28"/>
      <c r="G122" s="26"/>
      <c r="H122" s="29"/>
      <c r="I122" s="29"/>
    </row>
    <row r="123" spans="1:9">
      <c r="A123">
        <v>2021</v>
      </c>
      <c r="B123" s="10" t="s">
        <v>320</v>
      </c>
      <c r="C123" s="23">
        <v>1885608</v>
      </c>
      <c r="D123" s="29"/>
      <c r="E123" s="26"/>
      <c r="F123" s="28"/>
      <c r="G123" s="29"/>
      <c r="H123" s="29"/>
      <c r="I123" s="29"/>
    </row>
    <row r="124" spans="1:9">
      <c r="A124">
        <v>2021</v>
      </c>
      <c r="B124" s="10" t="s">
        <v>246</v>
      </c>
      <c r="C124" s="23">
        <v>400107</v>
      </c>
      <c r="D124" s="29"/>
      <c r="E124" s="26"/>
      <c r="F124" s="28"/>
      <c r="G124" s="29"/>
      <c r="H124" s="29"/>
      <c r="I124" s="29"/>
    </row>
    <row r="125" spans="1:9">
      <c r="A125">
        <v>2021</v>
      </c>
      <c r="B125" s="10" t="s">
        <v>339</v>
      </c>
      <c r="C125" s="23">
        <v>765435</v>
      </c>
      <c r="D125" s="29"/>
      <c r="E125" s="26"/>
      <c r="F125" s="28"/>
      <c r="G125" s="29"/>
      <c r="H125" s="29"/>
      <c r="I125" s="29"/>
    </row>
    <row r="126" spans="1:9">
      <c r="A126">
        <v>2021</v>
      </c>
      <c r="B126" s="10" t="s">
        <v>66</v>
      </c>
      <c r="C126" s="10">
        <v>0</v>
      </c>
      <c r="D126" s="26"/>
      <c r="E126" s="26"/>
      <c r="F126" s="28"/>
      <c r="G126" s="26"/>
      <c r="H126" s="29"/>
      <c r="I126" s="29"/>
    </row>
    <row r="127" spans="1:9">
      <c r="A127">
        <v>2021</v>
      </c>
      <c r="B127" s="10" t="s">
        <v>311</v>
      </c>
      <c r="C127" s="23">
        <v>1701938</v>
      </c>
      <c r="D127" s="29"/>
      <c r="E127" s="26"/>
      <c r="F127" s="28"/>
      <c r="G127" s="29"/>
      <c r="H127" s="29"/>
      <c r="I127" s="29"/>
    </row>
    <row r="128" spans="1:9">
      <c r="A128">
        <v>2021</v>
      </c>
      <c r="B128" s="10" t="s">
        <v>255</v>
      </c>
      <c r="C128" s="23">
        <v>400945</v>
      </c>
      <c r="D128" s="29"/>
      <c r="E128" s="26"/>
      <c r="F128" s="28"/>
      <c r="G128" s="29"/>
      <c r="H128" s="29"/>
      <c r="I128" s="29"/>
    </row>
    <row r="129" spans="1:9">
      <c r="A129">
        <v>2021</v>
      </c>
      <c r="B129" s="10" t="s">
        <v>243</v>
      </c>
      <c r="C129" s="10">
        <v>0</v>
      </c>
      <c r="D129" s="26"/>
      <c r="E129" s="26"/>
      <c r="F129" s="28"/>
      <c r="G129" s="26"/>
      <c r="H129" s="29"/>
      <c r="I129" s="29"/>
    </row>
    <row r="130" spans="1:9">
      <c r="A130">
        <v>2021</v>
      </c>
      <c r="B130" s="10" t="s">
        <v>340</v>
      </c>
      <c r="C130" s="23">
        <v>2186910</v>
      </c>
      <c r="D130" s="29"/>
      <c r="E130" s="26"/>
      <c r="F130" s="28"/>
      <c r="G130" s="29"/>
      <c r="H130" s="29"/>
      <c r="I130" s="29"/>
    </row>
    <row r="131" spans="1:9">
      <c r="A131">
        <v>2021</v>
      </c>
      <c r="B131" s="10" t="s">
        <v>248</v>
      </c>
      <c r="C131" s="10">
        <v>0</v>
      </c>
      <c r="D131" s="26"/>
      <c r="E131" s="26"/>
      <c r="F131" s="28"/>
      <c r="G131" s="26"/>
      <c r="H131" s="29"/>
      <c r="I131" s="29"/>
    </row>
    <row r="132" spans="1:9">
      <c r="A132">
        <v>2021</v>
      </c>
      <c r="B132" s="10" t="s">
        <v>261</v>
      </c>
      <c r="C132" s="10">
        <v>0</v>
      </c>
      <c r="D132" s="26"/>
      <c r="E132" s="26"/>
      <c r="F132" s="28"/>
      <c r="G132" s="26"/>
      <c r="H132" s="29"/>
      <c r="I132" s="29"/>
    </row>
    <row r="133" spans="1:9">
      <c r="A133">
        <v>2021</v>
      </c>
      <c r="B133" s="10" t="s">
        <v>85</v>
      </c>
      <c r="C133" s="10">
        <v>0</v>
      </c>
      <c r="D133" s="26"/>
      <c r="E133" s="26"/>
      <c r="F133" s="28"/>
      <c r="G133" s="26"/>
      <c r="H133" s="29"/>
      <c r="I133" s="29"/>
    </row>
    <row r="134" spans="1:9">
      <c r="A134">
        <v>2021</v>
      </c>
      <c r="B134" s="10" t="s">
        <v>86</v>
      </c>
      <c r="C134" s="23">
        <v>111255</v>
      </c>
      <c r="D134" s="29"/>
      <c r="E134" s="26"/>
      <c r="F134" s="28"/>
      <c r="G134" s="29"/>
      <c r="H134" s="29"/>
      <c r="I134" s="29"/>
    </row>
    <row r="135" spans="1:9">
      <c r="A135">
        <v>2021</v>
      </c>
      <c r="B135" s="10" t="s">
        <v>321</v>
      </c>
      <c r="C135" s="23">
        <v>279898</v>
      </c>
      <c r="D135" s="29"/>
      <c r="E135" s="26"/>
      <c r="F135" s="28"/>
      <c r="G135" s="29"/>
      <c r="H135" s="29"/>
      <c r="I135" s="29"/>
    </row>
    <row r="136" spans="1:9">
      <c r="A136">
        <v>2021</v>
      </c>
      <c r="B136" s="10" t="s">
        <v>87</v>
      </c>
      <c r="C136" s="10">
        <v>0</v>
      </c>
      <c r="D136" s="26"/>
      <c r="E136" s="26"/>
      <c r="F136" s="28"/>
      <c r="G136" s="26"/>
      <c r="H136" s="29"/>
      <c r="I136" s="29"/>
    </row>
    <row r="137" spans="1:9">
      <c r="A137">
        <v>2021</v>
      </c>
      <c r="B137" s="10" t="s">
        <v>88</v>
      </c>
      <c r="C137" s="10">
        <v>0</v>
      </c>
      <c r="D137" s="26"/>
      <c r="E137" s="26"/>
      <c r="F137" s="28"/>
      <c r="G137" s="26"/>
      <c r="H137" s="29"/>
      <c r="I137" s="29"/>
    </row>
    <row r="138" spans="1:9">
      <c r="A138">
        <v>2021</v>
      </c>
      <c r="B138" s="10" t="s">
        <v>198</v>
      </c>
      <c r="C138" s="23">
        <v>436543</v>
      </c>
      <c r="D138" s="29"/>
      <c r="E138" s="26"/>
      <c r="F138" s="28"/>
      <c r="G138" s="29"/>
      <c r="H138" s="29"/>
      <c r="I138" s="29"/>
    </row>
    <row r="139" spans="1:9">
      <c r="A139">
        <v>2021</v>
      </c>
      <c r="B139" s="10" t="s">
        <v>89</v>
      </c>
      <c r="C139" s="10">
        <v>0</v>
      </c>
      <c r="D139" s="26"/>
      <c r="E139" s="26"/>
      <c r="F139" s="28"/>
      <c r="G139" s="26"/>
      <c r="H139" s="29"/>
      <c r="I139" s="29"/>
    </row>
    <row r="140" spans="1:9">
      <c r="A140">
        <v>2021</v>
      </c>
      <c r="B140" s="10" t="s">
        <v>90</v>
      </c>
      <c r="C140" s="10">
        <v>0</v>
      </c>
      <c r="D140" s="26"/>
      <c r="E140" s="26"/>
      <c r="F140" s="28"/>
      <c r="G140" s="26"/>
      <c r="H140" s="29"/>
      <c r="I140" s="29"/>
    </row>
    <row r="141" spans="1:9">
      <c r="A141">
        <v>2021</v>
      </c>
      <c r="B141" s="10" t="s">
        <v>312</v>
      </c>
      <c r="C141" s="23">
        <v>3965038</v>
      </c>
      <c r="D141" s="29"/>
      <c r="E141" s="26"/>
      <c r="F141" s="28"/>
      <c r="G141" s="29"/>
      <c r="H141" s="29"/>
      <c r="I141" s="29"/>
    </row>
    <row r="142" spans="1:9">
      <c r="A142">
        <v>2021</v>
      </c>
      <c r="B142" s="10" t="s">
        <v>91</v>
      </c>
      <c r="C142" s="23">
        <v>126789</v>
      </c>
      <c r="D142" s="29"/>
      <c r="E142" s="26"/>
      <c r="F142" s="28"/>
      <c r="G142" s="29"/>
      <c r="H142" s="26"/>
      <c r="I142" s="29"/>
    </row>
    <row r="143" spans="1:9">
      <c r="A143">
        <v>2021</v>
      </c>
      <c r="B143" s="10" t="s">
        <v>322</v>
      </c>
      <c r="C143" s="23">
        <v>207506</v>
      </c>
      <c r="D143" s="29"/>
      <c r="E143" s="26"/>
      <c r="F143" s="28"/>
      <c r="G143" s="29"/>
      <c r="H143" s="29"/>
      <c r="I143" s="29"/>
    </row>
    <row r="144" spans="1:9">
      <c r="A144">
        <v>2021</v>
      </c>
      <c r="B144" s="10" t="s">
        <v>92</v>
      </c>
      <c r="C144" s="10">
        <v>0</v>
      </c>
      <c r="D144" s="26"/>
      <c r="E144" s="26"/>
      <c r="F144" s="28"/>
      <c r="G144" s="26"/>
      <c r="H144" s="29"/>
      <c r="I144" s="29"/>
    </row>
    <row r="145" spans="1:9">
      <c r="A145">
        <v>2021</v>
      </c>
      <c r="B145" s="10" t="s">
        <v>215</v>
      </c>
      <c r="C145" s="10">
        <v>0</v>
      </c>
      <c r="D145" s="26"/>
      <c r="E145" s="26"/>
      <c r="F145" s="28"/>
      <c r="G145" s="26"/>
      <c r="H145" s="29"/>
      <c r="I145" s="29"/>
    </row>
    <row r="146" spans="1:9">
      <c r="A146">
        <v>2021</v>
      </c>
      <c r="B146" s="10" t="s">
        <v>93</v>
      </c>
      <c r="C146" s="10">
        <v>0</v>
      </c>
      <c r="D146" s="26"/>
      <c r="E146" s="26"/>
      <c r="F146" s="28"/>
      <c r="G146" s="26"/>
      <c r="H146" s="29"/>
      <c r="I146" s="29"/>
    </row>
    <row r="147" spans="1:9">
      <c r="A147">
        <v>2021</v>
      </c>
      <c r="B147" s="10" t="s">
        <v>94</v>
      </c>
      <c r="C147" s="10">
        <v>0</v>
      </c>
      <c r="D147" s="26"/>
      <c r="E147" s="26"/>
      <c r="F147" s="28"/>
      <c r="G147" s="26"/>
      <c r="H147" s="29"/>
      <c r="I147" s="29"/>
    </row>
    <row r="148" spans="1:9">
      <c r="A148">
        <v>2021</v>
      </c>
      <c r="B148" s="10" t="s">
        <v>303</v>
      </c>
      <c r="C148" s="23">
        <v>1309770</v>
      </c>
      <c r="D148" s="29"/>
      <c r="E148" s="26"/>
      <c r="F148" s="28"/>
      <c r="G148" s="29"/>
      <c r="H148" s="29"/>
      <c r="I148" s="29"/>
    </row>
    <row r="149" spans="1:9">
      <c r="A149">
        <v>2021</v>
      </c>
      <c r="B149" s="10" t="s">
        <v>95</v>
      </c>
      <c r="C149" s="23">
        <v>2227227</v>
      </c>
      <c r="D149" s="29"/>
      <c r="E149" s="26"/>
      <c r="F149" s="28"/>
      <c r="G149" s="29"/>
      <c r="H149" s="29"/>
      <c r="I149" s="29"/>
    </row>
    <row r="150" spans="1:9">
      <c r="A150">
        <v>2021</v>
      </c>
      <c r="B150" s="10" t="s">
        <v>341</v>
      </c>
      <c r="C150" s="23">
        <v>2466497</v>
      </c>
      <c r="D150" s="29"/>
      <c r="E150" s="26"/>
      <c r="F150" s="28"/>
      <c r="G150" s="29"/>
      <c r="H150" s="29"/>
      <c r="I150" s="29"/>
    </row>
    <row r="151" spans="1:9">
      <c r="A151">
        <v>2021</v>
      </c>
      <c r="B151" s="10" t="s">
        <v>263</v>
      </c>
      <c r="C151" s="10">
        <v>0</v>
      </c>
      <c r="D151" s="26"/>
      <c r="E151" s="26"/>
      <c r="F151" s="28"/>
      <c r="G151" s="26"/>
      <c r="H151" s="29"/>
      <c r="I151" s="29"/>
    </row>
    <row r="152" spans="1:9">
      <c r="A152">
        <v>2021</v>
      </c>
      <c r="B152" s="10" t="s">
        <v>96</v>
      </c>
      <c r="C152" s="10">
        <v>0</v>
      </c>
      <c r="D152" s="26"/>
      <c r="E152" s="26"/>
      <c r="F152" s="28"/>
      <c r="G152" s="26"/>
      <c r="H152" s="29"/>
      <c r="I152" s="29"/>
    </row>
    <row r="153" spans="1:9">
      <c r="A153">
        <v>2021</v>
      </c>
      <c r="B153" s="10" t="s">
        <v>97</v>
      </c>
      <c r="C153" s="10">
        <v>0</v>
      </c>
      <c r="D153" s="26"/>
      <c r="E153" s="26"/>
      <c r="F153" s="28"/>
      <c r="G153" s="26"/>
      <c r="H153" s="29"/>
      <c r="I153" s="29"/>
    </row>
    <row r="154" spans="1:9">
      <c r="A154">
        <v>2021</v>
      </c>
      <c r="B154" s="10" t="s">
        <v>323</v>
      </c>
      <c r="C154" s="23">
        <v>1726725</v>
      </c>
      <c r="D154" s="29"/>
      <c r="E154" s="26"/>
      <c r="F154" s="28"/>
      <c r="G154" s="29"/>
      <c r="H154" s="29"/>
      <c r="I154" s="29"/>
    </row>
    <row r="155" spans="1:9">
      <c r="A155">
        <v>2021</v>
      </c>
      <c r="B155" s="10" t="s">
        <v>98</v>
      </c>
      <c r="C155" s="10">
        <v>0</v>
      </c>
      <c r="D155" s="26"/>
      <c r="E155" s="26"/>
      <c r="F155" s="28"/>
      <c r="G155" s="26"/>
      <c r="H155" s="29"/>
      <c r="I155" s="29"/>
    </row>
    <row r="156" spans="1:9">
      <c r="A156">
        <v>2021</v>
      </c>
      <c r="B156" s="10" t="s">
        <v>99</v>
      </c>
      <c r="C156" s="10">
        <v>0</v>
      </c>
      <c r="D156" s="26"/>
      <c r="E156" s="26"/>
      <c r="F156" s="28"/>
      <c r="G156" s="26"/>
      <c r="H156" s="29"/>
      <c r="I156" s="29"/>
    </row>
    <row r="157" spans="1:9">
      <c r="A157">
        <v>2021</v>
      </c>
      <c r="B157" s="10" t="s">
        <v>342</v>
      </c>
      <c r="C157" s="23">
        <v>679046</v>
      </c>
      <c r="D157" s="29"/>
      <c r="E157" s="26"/>
      <c r="F157" s="28"/>
      <c r="G157" s="29"/>
      <c r="H157" s="29"/>
      <c r="I157" s="29"/>
    </row>
    <row r="158" spans="1:9">
      <c r="A158">
        <v>2021</v>
      </c>
      <c r="B158" s="10" t="s">
        <v>291</v>
      </c>
      <c r="C158" s="10">
        <v>0</v>
      </c>
      <c r="D158" s="26"/>
      <c r="E158" s="26"/>
      <c r="F158" s="28"/>
      <c r="G158" s="26"/>
      <c r="H158" s="29"/>
      <c r="I158" s="29"/>
    </row>
    <row r="159" spans="1:9">
      <c r="A159">
        <v>2021</v>
      </c>
      <c r="B159" s="10" t="s">
        <v>324</v>
      </c>
      <c r="C159" s="23">
        <v>2124533</v>
      </c>
      <c r="D159" s="29"/>
      <c r="E159" s="26"/>
      <c r="F159" s="28"/>
      <c r="G159" s="29"/>
      <c r="H159" s="29"/>
      <c r="I159" s="29"/>
    </row>
    <row r="160" spans="1:9">
      <c r="A160">
        <v>2021</v>
      </c>
      <c r="B160" s="10" t="s">
        <v>258</v>
      </c>
      <c r="C160" s="10">
        <v>0</v>
      </c>
      <c r="D160" s="26"/>
      <c r="E160" s="26"/>
      <c r="F160" s="28"/>
      <c r="G160" s="26"/>
      <c r="H160" s="29"/>
      <c r="I160" s="29"/>
    </row>
    <row r="161" spans="1:9">
      <c r="A161">
        <v>2021</v>
      </c>
      <c r="B161" s="10" t="s">
        <v>227</v>
      </c>
      <c r="C161" s="23">
        <v>1328269</v>
      </c>
      <c r="D161" s="29"/>
      <c r="E161" s="26"/>
      <c r="F161" s="28"/>
      <c r="G161" s="29"/>
      <c r="H161" s="29"/>
      <c r="I161" s="29"/>
    </row>
    <row r="162" spans="1:9">
      <c r="A162">
        <v>2021</v>
      </c>
      <c r="B162" s="10" t="s">
        <v>101</v>
      </c>
      <c r="C162" s="10">
        <v>0</v>
      </c>
      <c r="D162" s="26"/>
      <c r="E162" s="26"/>
      <c r="F162" s="28"/>
      <c r="G162" s="26"/>
      <c r="H162" s="29"/>
      <c r="I162" s="29"/>
    </row>
    <row r="163" spans="1:9">
      <c r="A163">
        <v>2021</v>
      </c>
      <c r="B163" s="10" t="s">
        <v>343</v>
      </c>
      <c r="C163" s="23">
        <v>3481675</v>
      </c>
      <c r="D163" s="29"/>
      <c r="E163" s="26"/>
      <c r="F163" s="28"/>
      <c r="G163" s="29"/>
      <c r="H163" s="29"/>
      <c r="I163" s="29"/>
    </row>
    <row r="164" spans="1:9">
      <c r="A164">
        <v>2021</v>
      </c>
      <c r="B164" s="10" t="s">
        <v>102</v>
      </c>
      <c r="C164" s="10">
        <v>0</v>
      </c>
      <c r="D164" s="26"/>
      <c r="E164" s="26"/>
      <c r="F164" s="28"/>
      <c r="G164" s="26"/>
      <c r="H164" s="29"/>
      <c r="I164" s="29"/>
    </row>
    <row r="165" spans="1:9">
      <c r="A165">
        <v>2021</v>
      </c>
      <c r="B165" s="10" t="s">
        <v>103</v>
      </c>
      <c r="C165" s="10">
        <v>0</v>
      </c>
      <c r="D165" s="26"/>
      <c r="E165" s="26"/>
      <c r="F165" s="28"/>
      <c r="G165" s="26"/>
      <c r="H165" s="29"/>
      <c r="I165" s="29"/>
    </row>
    <row r="166" spans="1:9">
      <c r="A166">
        <v>2021</v>
      </c>
      <c r="B166" s="10" t="s">
        <v>105</v>
      </c>
      <c r="C166" s="10">
        <v>0</v>
      </c>
      <c r="D166" s="26"/>
      <c r="E166" s="26"/>
      <c r="F166" s="28"/>
      <c r="G166" s="26"/>
      <c r="H166" s="29"/>
      <c r="I166" s="29"/>
    </row>
    <row r="167" spans="1:9">
      <c r="A167">
        <v>2021</v>
      </c>
      <c r="B167" s="10" t="s">
        <v>104</v>
      </c>
      <c r="C167" s="10">
        <v>0</v>
      </c>
      <c r="D167" s="26"/>
      <c r="E167" s="26"/>
      <c r="F167" s="28"/>
      <c r="G167" s="26"/>
      <c r="H167" s="29"/>
      <c r="I167" s="29"/>
    </row>
    <row r="168" spans="1:9">
      <c r="A168">
        <v>2021</v>
      </c>
      <c r="B168" s="10" t="s">
        <v>106</v>
      </c>
      <c r="C168" s="23">
        <v>376030</v>
      </c>
      <c r="D168" s="29"/>
      <c r="E168" s="26"/>
      <c r="F168" s="28"/>
      <c r="G168" s="29"/>
      <c r="H168" s="29"/>
      <c r="I168" s="29"/>
    </row>
    <row r="169" spans="1:9">
      <c r="A169">
        <v>2021</v>
      </c>
      <c r="B169" s="10" t="s">
        <v>107</v>
      </c>
      <c r="C169" s="23">
        <v>124007</v>
      </c>
      <c r="D169" s="29"/>
      <c r="E169" s="26"/>
      <c r="F169" s="28"/>
      <c r="G169" s="29"/>
      <c r="H169" s="29"/>
      <c r="I169" s="29"/>
    </row>
    <row r="170" spans="1:9">
      <c r="A170">
        <v>2021</v>
      </c>
      <c r="B170" s="10" t="s">
        <v>226</v>
      </c>
      <c r="C170" s="23">
        <v>1220370</v>
      </c>
      <c r="D170" s="29"/>
      <c r="E170" s="26"/>
      <c r="F170" s="28"/>
      <c r="G170" s="29"/>
      <c r="H170" s="29"/>
      <c r="I170" s="29"/>
    </row>
    <row r="171" spans="1:9">
      <c r="A171">
        <v>2021</v>
      </c>
      <c r="B171" s="10" t="s">
        <v>109</v>
      </c>
      <c r="C171" s="10">
        <v>0</v>
      </c>
      <c r="D171" s="26"/>
      <c r="E171" s="26"/>
      <c r="F171" s="28"/>
      <c r="G171" s="26"/>
      <c r="H171" s="29"/>
      <c r="I171" s="29"/>
    </row>
    <row r="172" spans="1:9">
      <c r="A172">
        <v>2021</v>
      </c>
      <c r="B172" s="10" t="s">
        <v>344</v>
      </c>
      <c r="C172" s="23">
        <v>723129</v>
      </c>
      <c r="D172" s="29"/>
      <c r="E172" s="26"/>
      <c r="F172" s="28"/>
      <c r="G172" s="29"/>
      <c r="H172" s="29"/>
      <c r="I172" s="29"/>
    </row>
    <row r="173" spans="1:9">
      <c r="A173">
        <v>2021</v>
      </c>
      <c r="B173" s="10" t="s">
        <v>110</v>
      </c>
      <c r="C173" s="10">
        <v>0</v>
      </c>
      <c r="D173" s="26"/>
      <c r="E173" s="26"/>
      <c r="F173" s="28"/>
      <c r="G173" s="26"/>
      <c r="H173" s="29"/>
      <c r="I173" s="29"/>
    </row>
    <row r="174" spans="1:9">
      <c r="A174">
        <v>2021</v>
      </c>
      <c r="B174" s="10" t="s">
        <v>111</v>
      </c>
      <c r="C174" s="23">
        <v>498782</v>
      </c>
      <c r="D174" s="29"/>
      <c r="E174" s="26"/>
      <c r="F174" s="28"/>
      <c r="G174" s="29"/>
      <c r="H174" s="29"/>
      <c r="I174" s="29"/>
    </row>
    <row r="175" spans="1:9">
      <c r="A175">
        <v>2021</v>
      </c>
      <c r="B175" s="10" t="s">
        <v>249</v>
      </c>
      <c r="C175" s="23">
        <v>511927</v>
      </c>
      <c r="D175" s="29"/>
      <c r="E175" s="26"/>
      <c r="F175" s="28"/>
      <c r="G175" s="29"/>
      <c r="H175" s="29"/>
      <c r="I175" s="29"/>
    </row>
    <row r="176" spans="1:9">
      <c r="A176">
        <v>2021</v>
      </c>
      <c r="B176" s="10" t="s">
        <v>281</v>
      </c>
      <c r="C176" s="10">
        <v>0</v>
      </c>
      <c r="D176" s="26"/>
      <c r="E176" s="26"/>
      <c r="F176" s="28"/>
      <c r="G176" s="26"/>
      <c r="H176" s="29"/>
      <c r="I176" s="29"/>
    </row>
    <row r="177" spans="1:9">
      <c r="A177">
        <v>2021</v>
      </c>
      <c r="B177" s="10" t="s">
        <v>112</v>
      </c>
      <c r="C177" s="10">
        <v>0</v>
      </c>
      <c r="D177" s="26"/>
      <c r="E177" s="26"/>
      <c r="F177" s="28"/>
      <c r="G177" s="26"/>
      <c r="H177" s="29"/>
      <c r="I177" s="29"/>
    </row>
    <row r="178" spans="1:9">
      <c r="A178">
        <v>2021</v>
      </c>
      <c r="B178" s="10" t="s">
        <v>242</v>
      </c>
      <c r="C178" s="10">
        <v>0</v>
      </c>
      <c r="D178" s="26"/>
      <c r="E178" s="26"/>
      <c r="F178" s="28"/>
      <c r="G178" s="26"/>
      <c r="H178" s="29"/>
      <c r="I178" s="29"/>
    </row>
    <row r="179" spans="1:9">
      <c r="A179">
        <v>2021</v>
      </c>
      <c r="B179" s="10" t="s">
        <v>313</v>
      </c>
      <c r="C179" s="23">
        <v>1485616</v>
      </c>
      <c r="D179" s="29"/>
      <c r="E179" s="26"/>
      <c r="F179" s="28"/>
      <c r="G179" s="29"/>
      <c r="H179" s="29"/>
      <c r="I179" s="29"/>
    </row>
    <row r="180" spans="1:9">
      <c r="A180">
        <v>2021</v>
      </c>
      <c r="B180" s="10" t="s">
        <v>217</v>
      </c>
      <c r="C180" s="23">
        <v>331194</v>
      </c>
      <c r="D180" s="29"/>
      <c r="E180" s="26"/>
      <c r="F180" s="28"/>
      <c r="G180" s="29"/>
      <c r="H180" s="29"/>
      <c r="I180" s="29"/>
    </row>
    <row r="181" spans="1:9">
      <c r="A181">
        <v>2021</v>
      </c>
      <c r="B181" s="10" t="s">
        <v>259</v>
      </c>
      <c r="C181" s="23">
        <v>889113</v>
      </c>
      <c r="D181" s="29"/>
      <c r="E181" s="26"/>
      <c r="F181" s="28"/>
      <c r="G181" s="29"/>
      <c r="H181" s="29"/>
      <c r="I181" s="29"/>
    </row>
    <row r="182" spans="1:9">
      <c r="A182">
        <v>2021</v>
      </c>
      <c r="B182" s="10" t="s">
        <v>113</v>
      </c>
      <c r="C182" s="10">
        <v>0</v>
      </c>
      <c r="D182" s="26"/>
      <c r="E182" s="26"/>
      <c r="F182" s="28"/>
      <c r="G182" s="26"/>
      <c r="H182" s="29"/>
      <c r="I182" s="29"/>
    </row>
    <row r="183" spans="1:9">
      <c r="A183">
        <v>2021</v>
      </c>
      <c r="B183" s="10" t="s">
        <v>254</v>
      </c>
      <c r="C183" s="23">
        <v>448493</v>
      </c>
      <c r="D183" s="29"/>
      <c r="E183" s="26"/>
      <c r="F183" s="28"/>
      <c r="G183" s="29"/>
      <c r="H183" s="29"/>
      <c r="I183" s="29"/>
    </row>
    <row r="184" spans="1:9">
      <c r="A184">
        <v>2021</v>
      </c>
      <c r="B184" s="10" t="s">
        <v>345</v>
      </c>
      <c r="C184" s="23">
        <v>332557</v>
      </c>
      <c r="D184" s="29"/>
      <c r="E184" s="26"/>
      <c r="F184" s="28"/>
      <c r="G184" s="29"/>
      <c r="H184" s="29"/>
      <c r="I184" s="29"/>
    </row>
    <row r="185" spans="1:9">
      <c r="A185">
        <v>2021</v>
      </c>
      <c r="B185" s="10" t="s">
        <v>114</v>
      </c>
      <c r="C185" s="10">
        <v>0</v>
      </c>
      <c r="D185" s="26"/>
      <c r="E185" s="26"/>
      <c r="F185" s="28"/>
      <c r="G185" s="26"/>
      <c r="H185" s="29"/>
      <c r="I185" s="29"/>
    </row>
    <row r="186" spans="1:9">
      <c r="A186">
        <v>2021</v>
      </c>
      <c r="B186" s="10" t="s">
        <v>304</v>
      </c>
      <c r="C186" s="23">
        <v>1276544</v>
      </c>
      <c r="D186" s="29"/>
      <c r="E186" s="26"/>
      <c r="F186" s="28"/>
      <c r="G186" s="29"/>
      <c r="H186" s="29"/>
      <c r="I186" s="29"/>
    </row>
    <row r="187" spans="1:9">
      <c r="A187">
        <v>2021</v>
      </c>
      <c r="B187" s="10" t="s">
        <v>271</v>
      </c>
      <c r="C187" s="10">
        <v>0</v>
      </c>
      <c r="D187" s="26"/>
      <c r="E187" s="26"/>
      <c r="F187" s="28"/>
      <c r="G187" s="26"/>
      <c r="H187" s="29"/>
      <c r="I187" s="29"/>
    </row>
    <row r="188" spans="1:9">
      <c r="A188">
        <v>2021</v>
      </c>
      <c r="B188" s="10" t="s">
        <v>346</v>
      </c>
      <c r="C188" s="23">
        <v>913926</v>
      </c>
      <c r="D188" s="29"/>
      <c r="E188" s="26"/>
      <c r="F188" s="28"/>
      <c r="G188" s="29"/>
      <c r="H188" s="29"/>
      <c r="I188" s="29"/>
    </row>
    <row r="189" spans="1:9">
      <c r="A189">
        <v>2021</v>
      </c>
      <c r="B189" s="10" t="s">
        <v>326</v>
      </c>
      <c r="C189" s="23">
        <v>1014614</v>
      </c>
      <c r="D189" s="29"/>
      <c r="E189" s="26"/>
      <c r="F189" s="28"/>
      <c r="G189" s="29"/>
      <c r="H189" s="29"/>
      <c r="I189" s="29"/>
    </row>
    <row r="190" spans="1:9">
      <c r="A190">
        <v>2021</v>
      </c>
      <c r="B190" s="10" t="s">
        <v>116</v>
      </c>
      <c r="C190" s="23">
        <v>81639</v>
      </c>
      <c r="D190" s="29"/>
      <c r="E190" s="26"/>
      <c r="F190" s="28"/>
      <c r="G190" s="29"/>
      <c r="H190" s="29"/>
      <c r="I190" s="29"/>
    </row>
    <row r="191" spans="1:9">
      <c r="A191">
        <v>2021</v>
      </c>
      <c r="B191" s="10" t="s">
        <v>119</v>
      </c>
      <c r="C191" s="10">
        <v>0</v>
      </c>
      <c r="D191" s="26"/>
      <c r="E191" s="26"/>
      <c r="F191" s="28"/>
      <c r="G191" s="26"/>
      <c r="H191" s="29"/>
      <c r="I191" s="29"/>
    </row>
    <row r="192" spans="1:9">
      <c r="A192">
        <v>2021</v>
      </c>
      <c r="B192" s="10" t="s">
        <v>120</v>
      </c>
      <c r="C192" s="10">
        <v>0</v>
      </c>
      <c r="D192" s="26"/>
      <c r="E192" s="26"/>
      <c r="F192" s="28"/>
      <c r="G192" s="26"/>
      <c r="H192" s="29"/>
      <c r="I192" s="29"/>
    </row>
    <row r="193" spans="1:9">
      <c r="A193">
        <v>2021</v>
      </c>
      <c r="B193" s="10" t="s">
        <v>121</v>
      </c>
      <c r="C193" s="10">
        <v>0</v>
      </c>
      <c r="D193" s="26"/>
      <c r="E193" s="26"/>
      <c r="F193" s="28"/>
      <c r="G193" s="26"/>
      <c r="H193" s="29"/>
      <c r="I193" s="29"/>
    </row>
    <row r="194" spans="1:9">
      <c r="A194">
        <v>2021</v>
      </c>
      <c r="B194" s="10" t="s">
        <v>298</v>
      </c>
      <c r="C194" s="10">
        <v>0</v>
      </c>
      <c r="D194" s="26"/>
      <c r="E194" s="26"/>
      <c r="F194" s="28"/>
      <c r="G194" s="26"/>
      <c r="H194" s="29"/>
      <c r="I194" s="29"/>
    </row>
    <row r="195" spans="1:9">
      <c r="A195">
        <v>2021</v>
      </c>
      <c r="B195" s="10" t="s">
        <v>122</v>
      </c>
      <c r="C195" s="10">
        <v>0</v>
      </c>
      <c r="D195" s="26"/>
      <c r="E195" s="26"/>
      <c r="F195" s="28"/>
      <c r="G195" s="26"/>
      <c r="H195" s="29"/>
      <c r="I195" s="29"/>
    </row>
    <row r="196" spans="1:9">
      <c r="A196">
        <v>2021</v>
      </c>
      <c r="B196" s="10" t="s">
        <v>327</v>
      </c>
      <c r="C196" s="23">
        <v>1197979</v>
      </c>
      <c r="D196" s="29"/>
      <c r="E196" s="26"/>
      <c r="F196" s="28"/>
      <c r="G196" s="29"/>
      <c r="H196" s="29"/>
      <c r="I196" s="29"/>
    </row>
    <row r="197" spans="1:9">
      <c r="A197">
        <v>2021</v>
      </c>
      <c r="B197" s="10" t="s">
        <v>123</v>
      </c>
      <c r="C197" s="10">
        <v>0</v>
      </c>
      <c r="D197" s="26"/>
      <c r="E197" s="26"/>
      <c r="F197" s="28"/>
      <c r="G197" s="26"/>
      <c r="H197" s="29"/>
      <c r="I197" s="29"/>
    </row>
    <row r="198" spans="1:9">
      <c r="A198">
        <v>2021</v>
      </c>
      <c r="B198" s="10" t="s">
        <v>124</v>
      </c>
      <c r="C198" s="10">
        <v>0</v>
      </c>
      <c r="D198" s="26"/>
      <c r="E198" s="26"/>
      <c r="F198" s="28"/>
      <c r="G198" s="26"/>
      <c r="H198" s="29"/>
      <c r="I198" s="29"/>
    </row>
    <row r="199" spans="1:9">
      <c r="A199">
        <v>2021</v>
      </c>
      <c r="B199" s="10" t="s">
        <v>125</v>
      </c>
      <c r="C199" s="10">
        <v>0</v>
      </c>
      <c r="D199" s="26"/>
      <c r="E199" s="26"/>
      <c r="F199" s="28"/>
      <c r="G199" s="26"/>
      <c r="H199" s="29"/>
      <c r="I199" s="29"/>
    </row>
    <row r="200" spans="1:9">
      <c r="A200">
        <v>2021</v>
      </c>
      <c r="B200" s="10" t="s">
        <v>126</v>
      </c>
      <c r="C200" s="10">
        <v>0</v>
      </c>
      <c r="D200" s="26"/>
      <c r="E200" s="26"/>
      <c r="F200" s="28"/>
      <c r="G200" s="26"/>
      <c r="H200" s="29"/>
      <c r="I200" s="29"/>
    </row>
    <row r="201" spans="1:9">
      <c r="A201">
        <v>2021</v>
      </c>
      <c r="B201" s="10" t="s">
        <v>128</v>
      </c>
      <c r="C201" s="10">
        <v>0</v>
      </c>
      <c r="D201" s="26"/>
      <c r="E201" s="26"/>
      <c r="F201" s="28"/>
      <c r="G201" s="26"/>
      <c r="H201" s="29"/>
      <c r="I201" s="29"/>
    </row>
    <row r="202" spans="1:9">
      <c r="A202">
        <v>2021</v>
      </c>
      <c r="B202" s="10" t="s">
        <v>286</v>
      </c>
      <c r="C202" s="23">
        <v>541069</v>
      </c>
      <c r="D202" s="29"/>
      <c r="E202" s="26"/>
      <c r="F202" s="28"/>
      <c r="G202" s="29"/>
      <c r="H202" s="29"/>
      <c r="I202" s="29"/>
    </row>
    <row r="203" spans="1:9">
      <c r="A203">
        <v>2021</v>
      </c>
      <c r="B203" s="10" t="s">
        <v>290</v>
      </c>
      <c r="C203" s="23">
        <v>272300</v>
      </c>
      <c r="D203" s="29"/>
      <c r="E203" s="26"/>
      <c r="F203" s="28"/>
      <c r="G203" s="29"/>
      <c r="H203" s="29"/>
      <c r="I203" s="29"/>
    </row>
    <row r="204" spans="1:9">
      <c r="A204">
        <v>2021</v>
      </c>
      <c r="B204" s="10" t="s">
        <v>347</v>
      </c>
      <c r="C204" s="23">
        <v>190581</v>
      </c>
      <c r="D204" s="29"/>
      <c r="E204" s="26"/>
      <c r="F204" s="28"/>
      <c r="G204" s="29"/>
      <c r="H204" s="29"/>
      <c r="I204" s="29"/>
    </row>
    <row r="205" spans="1:9">
      <c r="A205">
        <v>2021</v>
      </c>
      <c r="B205" s="10" t="s">
        <v>129</v>
      </c>
      <c r="C205" s="10">
        <v>0</v>
      </c>
      <c r="D205" s="26"/>
      <c r="E205" s="26"/>
      <c r="F205" s="28"/>
      <c r="G205" s="26"/>
      <c r="H205" s="29"/>
      <c r="I205" s="29"/>
    </row>
    <row r="206" spans="1:9">
      <c r="A206">
        <v>2021</v>
      </c>
      <c r="B206" s="10" t="s">
        <v>328</v>
      </c>
      <c r="C206" s="23">
        <v>184417</v>
      </c>
      <c r="D206" s="29"/>
      <c r="E206" s="26"/>
      <c r="F206" s="28"/>
      <c r="G206" s="29"/>
      <c r="H206" s="29"/>
      <c r="I206" s="29"/>
    </row>
    <row r="207" spans="1:9">
      <c r="A207">
        <v>2021</v>
      </c>
      <c r="B207" s="10" t="s">
        <v>130</v>
      </c>
      <c r="C207" s="23">
        <v>542259</v>
      </c>
      <c r="D207" s="29"/>
      <c r="E207" s="26"/>
      <c r="F207" s="28"/>
      <c r="G207" s="29"/>
      <c r="H207" s="29"/>
      <c r="I207" s="29"/>
    </row>
    <row r="208" spans="1:9">
      <c r="A208">
        <v>2021</v>
      </c>
      <c r="B208" s="10" t="s">
        <v>131</v>
      </c>
      <c r="C208" s="10">
        <v>0</v>
      </c>
      <c r="D208" s="26"/>
      <c r="E208" s="26"/>
      <c r="F208" s="28"/>
      <c r="G208" s="26"/>
      <c r="H208" s="29"/>
      <c r="I208" s="29"/>
    </row>
    <row r="209" spans="1:9">
      <c r="A209">
        <v>2021</v>
      </c>
      <c r="B209" s="10" t="s">
        <v>132</v>
      </c>
      <c r="C209" s="10">
        <v>0</v>
      </c>
      <c r="D209" s="26"/>
      <c r="E209" s="26"/>
      <c r="F209" s="28"/>
      <c r="G209" s="26"/>
      <c r="H209" s="29"/>
      <c r="I209" s="29"/>
    </row>
    <row r="210" spans="1:9">
      <c r="A210">
        <v>2021</v>
      </c>
      <c r="B210" s="10" t="s">
        <v>230</v>
      </c>
      <c r="C210" s="10">
        <v>0</v>
      </c>
      <c r="D210" s="26"/>
      <c r="E210" s="26"/>
      <c r="F210" s="28"/>
      <c r="G210" s="26"/>
      <c r="H210" s="29"/>
      <c r="I210" s="29"/>
    </row>
    <row r="211" spans="1:9">
      <c r="A211">
        <v>2021</v>
      </c>
      <c r="B211" s="10" t="s">
        <v>133</v>
      </c>
      <c r="C211" s="23">
        <v>3532357</v>
      </c>
      <c r="D211" s="29"/>
      <c r="E211" s="26"/>
      <c r="F211" s="28"/>
      <c r="G211" s="29"/>
      <c r="H211" s="29"/>
      <c r="I211" s="29"/>
    </row>
    <row r="212" spans="1:9">
      <c r="A212">
        <v>2021</v>
      </c>
      <c r="B212" s="10" t="s">
        <v>205</v>
      </c>
      <c r="C212" s="23">
        <v>640142</v>
      </c>
      <c r="D212" s="29"/>
      <c r="E212" s="26"/>
      <c r="F212" s="28"/>
      <c r="G212" s="29"/>
      <c r="H212" s="29"/>
      <c r="I212" s="29"/>
    </row>
    <row r="213" spans="1:9">
      <c r="A213">
        <v>2021</v>
      </c>
      <c r="B213" s="10" t="s">
        <v>206</v>
      </c>
      <c r="C213" s="10">
        <v>0</v>
      </c>
      <c r="D213" s="26"/>
      <c r="E213" s="26"/>
      <c r="F213" s="28"/>
      <c r="G213" s="26"/>
      <c r="H213" s="29"/>
      <c r="I213" s="29"/>
    </row>
    <row r="214" spans="1:9">
      <c r="A214">
        <v>2021</v>
      </c>
      <c r="B214" s="10" t="s">
        <v>134</v>
      </c>
      <c r="C214" s="23">
        <v>404375</v>
      </c>
      <c r="D214" s="29"/>
      <c r="E214" s="26"/>
      <c r="F214" s="28"/>
      <c r="G214" s="29"/>
      <c r="H214" s="29"/>
      <c r="I214" s="29"/>
    </row>
    <row r="215" spans="1:9">
      <c r="A215">
        <v>2021</v>
      </c>
      <c r="B215" s="10" t="s">
        <v>138</v>
      </c>
      <c r="C215" s="10">
        <v>0</v>
      </c>
      <c r="D215" s="26"/>
      <c r="E215" s="26"/>
      <c r="F215" s="28"/>
      <c r="G215" s="26"/>
      <c r="H215" s="29"/>
      <c r="I215" s="29"/>
    </row>
    <row r="216" spans="1:9">
      <c r="A216">
        <v>2021</v>
      </c>
      <c r="B216" s="10" t="s">
        <v>139</v>
      </c>
      <c r="C216" s="10">
        <v>0</v>
      </c>
      <c r="D216" s="26"/>
      <c r="E216" s="26"/>
      <c r="F216" s="28"/>
      <c r="G216" s="26"/>
      <c r="H216" s="29"/>
      <c r="I216" s="29"/>
    </row>
    <row r="217" spans="1:9">
      <c r="A217">
        <v>2021</v>
      </c>
      <c r="B217" s="10" t="s">
        <v>140</v>
      </c>
      <c r="C217" s="23">
        <v>143332</v>
      </c>
      <c r="D217" s="29"/>
      <c r="E217" s="26"/>
      <c r="F217" s="28"/>
      <c r="G217" s="29"/>
      <c r="H217" s="29"/>
      <c r="I217" s="29"/>
    </row>
    <row r="218" spans="1:9">
      <c r="A218">
        <v>2021</v>
      </c>
      <c r="B218" s="10" t="s">
        <v>141</v>
      </c>
      <c r="C218" s="10">
        <v>0</v>
      </c>
      <c r="D218" s="26"/>
      <c r="E218" s="26"/>
      <c r="F218" s="28"/>
      <c r="G218" s="26"/>
      <c r="H218" s="29"/>
      <c r="I218" s="29"/>
    </row>
    <row r="219" spans="1:9">
      <c r="A219">
        <v>2021</v>
      </c>
      <c r="B219" s="10" t="s">
        <v>142</v>
      </c>
      <c r="C219" s="10">
        <v>0</v>
      </c>
      <c r="D219" s="26"/>
      <c r="E219" s="26"/>
      <c r="F219" s="28"/>
      <c r="G219" s="26"/>
      <c r="H219" s="29"/>
      <c r="I219" s="29"/>
    </row>
    <row r="220" spans="1:9">
      <c r="A220">
        <v>2021</v>
      </c>
      <c r="B220" s="10" t="s">
        <v>143</v>
      </c>
      <c r="C220" s="10">
        <v>0</v>
      </c>
      <c r="D220" s="26"/>
      <c r="E220" s="26"/>
      <c r="F220" s="28"/>
      <c r="G220" s="26"/>
      <c r="H220" s="29"/>
      <c r="I220" s="29"/>
    </row>
    <row r="221" spans="1:9">
      <c r="A221">
        <v>2021</v>
      </c>
      <c r="B221" s="10" t="s">
        <v>144</v>
      </c>
      <c r="C221" s="10">
        <v>0</v>
      </c>
      <c r="D221" s="26"/>
      <c r="E221" s="26"/>
      <c r="F221" s="28"/>
      <c r="G221" s="26"/>
      <c r="H221" s="29"/>
      <c r="I221" s="29"/>
    </row>
    <row r="222" spans="1:9">
      <c r="A222">
        <v>2021</v>
      </c>
      <c r="B222" s="10" t="s">
        <v>329</v>
      </c>
      <c r="C222" s="23">
        <v>1736767</v>
      </c>
      <c r="D222" s="29"/>
      <c r="E222" s="26"/>
      <c r="F222" s="28"/>
      <c r="G222" s="29"/>
      <c r="H222" s="29"/>
      <c r="I222" s="29"/>
    </row>
    <row r="223" spans="1:9">
      <c r="A223">
        <v>2021</v>
      </c>
      <c r="B223" s="10" t="s">
        <v>146</v>
      </c>
      <c r="C223" s="23">
        <v>4075292</v>
      </c>
      <c r="D223" s="29"/>
      <c r="E223" s="26"/>
      <c r="F223" s="28"/>
      <c r="G223" s="29"/>
      <c r="H223" s="29"/>
      <c r="I223" s="29"/>
    </row>
    <row r="224" spans="1:9">
      <c r="A224">
        <v>2021</v>
      </c>
      <c r="B224" s="10" t="s">
        <v>147</v>
      </c>
      <c r="C224" s="23">
        <v>163998</v>
      </c>
      <c r="D224" s="29"/>
      <c r="E224" s="26"/>
      <c r="F224" s="28"/>
      <c r="G224" s="29"/>
      <c r="H224" s="29"/>
      <c r="I224" s="29"/>
    </row>
    <row r="225" spans="1:9">
      <c r="A225">
        <v>2021</v>
      </c>
      <c r="B225" s="10" t="s">
        <v>330</v>
      </c>
      <c r="C225" s="23">
        <v>151037</v>
      </c>
      <c r="D225" s="29"/>
      <c r="E225" s="26"/>
      <c r="F225" s="28"/>
      <c r="G225" s="29"/>
      <c r="H225" s="29"/>
      <c r="I225" s="29"/>
    </row>
    <row r="226" spans="1:9">
      <c r="A226">
        <v>2021</v>
      </c>
      <c r="B226" s="10" t="s">
        <v>288</v>
      </c>
      <c r="C226" s="23">
        <v>205980</v>
      </c>
      <c r="D226" s="29"/>
      <c r="E226" s="26"/>
      <c r="F226" s="28"/>
      <c r="G226" s="29"/>
      <c r="H226" s="29"/>
      <c r="I226" s="29"/>
    </row>
    <row r="227" spans="1:9">
      <c r="A227">
        <v>2021</v>
      </c>
      <c r="B227" s="10" t="s">
        <v>266</v>
      </c>
      <c r="C227" s="23">
        <v>1048911</v>
      </c>
      <c r="D227" s="29"/>
      <c r="E227" s="26"/>
      <c r="F227" s="28"/>
      <c r="G227" s="29"/>
      <c r="H227" s="29"/>
      <c r="I227" s="29"/>
    </row>
    <row r="228" spans="1:9">
      <c r="A228">
        <v>2021</v>
      </c>
      <c r="B228" s="10" t="s">
        <v>267</v>
      </c>
      <c r="C228" s="23">
        <v>296466</v>
      </c>
      <c r="D228" s="29"/>
      <c r="E228" s="26"/>
      <c r="F228" s="28"/>
      <c r="G228" s="29"/>
      <c r="H228" s="29"/>
      <c r="I228" s="29"/>
    </row>
    <row r="229" spans="1:9">
      <c r="A229">
        <v>2021</v>
      </c>
      <c r="B229" s="10" t="s">
        <v>348</v>
      </c>
      <c r="C229" s="23">
        <v>1133660</v>
      </c>
      <c r="D229" s="29"/>
      <c r="E229" s="26"/>
      <c r="F229" s="28"/>
      <c r="G229" s="29"/>
      <c r="H229" s="29"/>
      <c r="I229" s="29"/>
    </row>
    <row r="230" spans="1:9">
      <c r="A230">
        <v>2021</v>
      </c>
      <c r="B230" s="10" t="s">
        <v>284</v>
      </c>
      <c r="C230" s="10">
        <v>0</v>
      </c>
      <c r="D230" s="26"/>
      <c r="E230" s="26"/>
      <c r="F230" s="28"/>
      <c r="G230" s="26"/>
      <c r="H230" s="29"/>
      <c r="I230" s="29"/>
    </row>
    <row r="231" spans="1:9">
      <c r="A231">
        <v>2021</v>
      </c>
      <c r="B231" s="10" t="s">
        <v>148</v>
      </c>
      <c r="C231" s="23">
        <v>1765677</v>
      </c>
      <c r="D231" s="29"/>
      <c r="E231" s="26"/>
      <c r="F231" s="28"/>
      <c r="G231" s="29"/>
      <c r="H231" s="29"/>
      <c r="I231" s="29"/>
    </row>
    <row r="232" spans="1:9">
      <c r="A232">
        <v>2021</v>
      </c>
      <c r="B232" s="10" t="s">
        <v>135</v>
      </c>
      <c r="C232" s="10">
        <v>0</v>
      </c>
      <c r="D232" s="26"/>
      <c r="E232" s="26"/>
      <c r="F232" s="28"/>
      <c r="G232" s="26"/>
      <c r="H232" s="29"/>
      <c r="I232" s="29"/>
    </row>
    <row r="233" spans="1:9">
      <c r="A233">
        <v>2021</v>
      </c>
      <c r="B233" s="10" t="s">
        <v>136</v>
      </c>
      <c r="C233" s="10">
        <v>0</v>
      </c>
      <c r="D233" s="26"/>
      <c r="E233" s="26"/>
      <c r="F233" s="28"/>
      <c r="G233" s="26"/>
      <c r="H233" s="29"/>
      <c r="I233" s="29"/>
    </row>
    <row r="234" spans="1:9">
      <c r="A234">
        <v>2021</v>
      </c>
      <c r="B234" s="10" t="s">
        <v>199</v>
      </c>
      <c r="C234" s="23">
        <v>949571</v>
      </c>
      <c r="D234" s="29"/>
      <c r="E234" s="26"/>
      <c r="F234" s="28"/>
      <c r="G234" s="29"/>
      <c r="H234" s="29"/>
      <c r="I234" s="29"/>
    </row>
    <row r="235" spans="1:9">
      <c r="A235">
        <v>2021</v>
      </c>
      <c r="B235" s="10" t="s">
        <v>137</v>
      </c>
      <c r="C235" s="23">
        <v>964931</v>
      </c>
      <c r="D235" s="29"/>
      <c r="E235" s="26"/>
      <c r="F235" s="28"/>
      <c r="G235" s="29"/>
      <c r="H235" s="29"/>
      <c r="I235" s="29"/>
    </row>
    <row r="236" spans="1:9">
      <c r="A236">
        <v>2021</v>
      </c>
      <c r="B236" s="10" t="s">
        <v>149</v>
      </c>
      <c r="C236" s="23">
        <v>65412</v>
      </c>
      <c r="D236" s="29"/>
      <c r="E236" s="26"/>
      <c r="F236" s="28"/>
      <c r="G236" s="29"/>
      <c r="H236" s="29"/>
      <c r="I236" s="29"/>
    </row>
    <row r="237" spans="1:9">
      <c r="A237">
        <v>2021</v>
      </c>
      <c r="B237" s="10" t="s">
        <v>150</v>
      </c>
      <c r="C237" s="10">
        <v>0</v>
      </c>
      <c r="D237" s="26"/>
      <c r="E237" s="26"/>
      <c r="F237" s="28"/>
      <c r="G237" s="26"/>
      <c r="H237" s="29"/>
      <c r="I237" s="29"/>
    </row>
    <row r="238" spans="1:9">
      <c r="A238">
        <v>2021</v>
      </c>
      <c r="B238" s="10" t="s">
        <v>269</v>
      </c>
      <c r="C238" s="10">
        <v>0</v>
      </c>
      <c r="D238" s="26"/>
      <c r="E238" s="26"/>
      <c r="F238" s="28"/>
      <c r="G238" s="26"/>
      <c r="H238" s="29"/>
      <c r="I238" s="29"/>
    </row>
    <row r="239" spans="1:9">
      <c r="A239">
        <v>2021</v>
      </c>
      <c r="B239" s="10" t="s">
        <v>151</v>
      </c>
      <c r="C239" s="10">
        <v>0</v>
      </c>
      <c r="D239" s="26"/>
      <c r="E239" s="26"/>
      <c r="F239" s="28"/>
      <c r="G239" s="26"/>
      <c r="H239" s="29"/>
      <c r="I239" s="29"/>
    </row>
    <row r="240" spans="1:9">
      <c r="A240">
        <v>2021</v>
      </c>
      <c r="B240" s="10" t="s">
        <v>152</v>
      </c>
      <c r="C240" s="23">
        <v>147298</v>
      </c>
      <c r="D240" s="29"/>
      <c r="E240" s="26"/>
      <c r="F240" s="28"/>
      <c r="G240" s="29"/>
      <c r="H240" s="29"/>
      <c r="I240" s="29"/>
    </row>
    <row r="241" spans="1:9">
      <c r="A241">
        <v>2021</v>
      </c>
      <c r="B241" s="10" t="s">
        <v>154</v>
      </c>
      <c r="C241" s="10">
        <v>0</v>
      </c>
      <c r="D241" s="26"/>
      <c r="E241" s="26"/>
      <c r="F241" s="28"/>
      <c r="G241" s="26"/>
      <c r="H241" s="29"/>
      <c r="I241" s="29"/>
    </row>
    <row r="242" spans="1:9">
      <c r="A242">
        <v>2021</v>
      </c>
      <c r="B242" s="10" t="s">
        <v>155</v>
      </c>
      <c r="C242" s="10">
        <v>0</v>
      </c>
      <c r="D242" s="26"/>
      <c r="E242" s="26"/>
      <c r="F242" s="28"/>
      <c r="G242" s="26"/>
      <c r="H242" s="29"/>
      <c r="I242" s="29"/>
    </row>
    <row r="243" spans="1:9">
      <c r="A243">
        <v>2021</v>
      </c>
      <c r="B243" s="10" t="s">
        <v>156</v>
      </c>
      <c r="C243" s="10">
        <v>0</v>
      </c>
      <c r="D243" s="26"/>
      <c r="E243" s="26"/>
      <c r="F243" s="28"/>
      <c r="G243" s="26"/>
      <c r="H243" s="29"/>
      <c r="I243" s="29"/>
    </row>
    <row r="244" spans="1:9">
      <c r="A244">
        <v>2021</v>
      </c>
      <c r="B244" s="10" t="s">
        <v>331</v>
      </c>
      <c r="C244" s="23">
        <v>1146832</v>
      </c>
      <c r="D244" s="29"/>
      <c r="E244" s="26"/>
      <c r="F244" s="28"/>
      <c r="G244" s="29"/>
      <c r="H244" s="29"/>
      <c r="I244" s="29"/>
    </row>
    <row r="245" spans="1:9">
      <c r="A245">
        <v>2021</v>
      </c>
      <c r="B245" s="10" t="s">
        <v>200</v>
      </c>
      <c r="C245" s="23">
        <v>410906</v>
      </c>
      <c r="D245" s="29"/>
      <c r="E245" s="26"/>
      <c r="F245" s="28"/>
      <c r="G245" s="29"/>
      <c r="H245" s="29"/>
      <c r="I245" s="29"/>
    </row>
    <row r="246" spans="1:9">
      <c r="A246">
        <v>2021</v>
      </c>
      <c r="B246" s="10" t="s">
        <v>157</v>
      </c>
      <c r="C246" s="23">
        <v>255125</v>
      </c>
      <c r="D246" s="29"/>
      <c r="E246" s="26"/>
      <c r="F246" s="28"/>
      <c r="G246" s="29"/>
      <c r="H246" s="29"/>
      <c r="I246" s="29"/>
    </row>
    <row r="247" spans="1:9">
      <c r="A247">
        <v>2021</v>
      </c>
      <c r="B247" s="10" t="s">
        <v>159</v>
      </c>
      <c r="C247" s="10">
        <v>0</v>
      </c>
      <c r="D247" s="26"/>
      <c r="E247" s="26"/>
      <c r="F247" s="28"/>
      <c r="G247" s="26"/>
      <c r="H247" s="29"/>
      <c r="I247" s="29"/>
    </row>
    <row r="248" spans="1:9">
      <c r="A248">
        <v>2021</v>
      </c>
      <c r="B248" s="10" t="s">
        <v>160</v>
      </c>
      <c r="C248" s="23">
        <v>177290</v>
      </c>
      <c r="D248" s="29"/>
      <c r="E248" s="26"/>
      <c r="F248" s="28"/>
      <c r="G248" s="29"/>
      <c r="H248" s="29"/>
      <c r="I248" s="29"/>
    </row>
    <row r="249" spans="1:9">
      <c r="A249">
        <v>2021</v>
      </c>
      <c r="B249" s="10" t="s">
        <v>161</v>
      </c>
      <c r="C249" s="10">
        <v>0</v>
      </c>
      <c r="D249" s="26"/>
      <c r="E249" s="26"/>
      <c r="F249" s="28"/>
      <c r="G249" s="26"/>
      <c r="H249" s="29"/>
      <c r="I249" s="29"/>
    </row>
    <row r="250" spans="1:9">
      <c r="A250">
        <v>2021</v>
      </c>
      <c r="B250" s="10" t="s">
        <v>332</v>
      </c>
      <c r="C250" s="23">
        <v>521395</v>
      </c>
      <c r="D250" s="29"/>
      <c r="E250" s="26"/>
      <c r="F250" s="28"/>
      <c r="G250" s="29"/>
      <c r="H250" s="29"/>
      <c r="I250" s="29"/>
    </row>
    <row r="251" spans="1:9">
      <c r="A251">
        <v>2021</v>
      </c>
      <c r="B251" s="10" t="s">
        <v>224</v>
      </c>
      <c r="C251" s="23">
        <v>434184</v>
      </c>
      <c r="D251" s="29"/>
      <c r="E251" s="26"/>
      <c r="F251" s="28"/>
      <c r="G251" s="29"/>
      <c r="H251" s="29"/>
      <c r="I251" s="29"/>
    </row>
    <row r="252" spans="1:9">
      <c r="A252">
        <v>2021</v>
      </c>
      <c r="B252" s="10" t="s">
        <v>251</v>
      </c>
      <c r="C252" s="23">
        <v>367202</v>
      </c>
      <c r="D252" s="29"/>
      <c r="E252" s="26"/>
      <c r="F252" s="28"/>
      <c r="G252" s="29"/>
      <c r="H252" s="29"/>
      <c r="I252" s="29"/>
    </row>
    <row r="253" spans="1:9">
      <c r="A253">
        <v>2021</v>
      </c>
      <c r="B253" s="10" t="s">
        <v>244</v>
      </c>
      <c r="C253" s="10">
        <v>0</v>
      </c>
      <c r="D253" s="26"/>
      <c r="E253" s="26"/>
      <c r="F253" s="28"/>
      <c r="G253" s="26"/>
      <c r="H253" s="29"/>
      <c r="I253" s="29"/>
    </row>
    <row r="254" spans="1:9">
      <c r="A254">
        <v>2021</v>
      </c>
      <c r="B254" s="10" t="s">
        <v>268</v>
      </c>
      <c r="C254" s="23">
        <v>412389</v>
      </c>
      <c r="D254" s="29"/>
      <c r="E254" s="26"/>
      <c r="F254" s="28"/>
      <c r="G254" s="29"/>
      <c r="H254" s="29"/>
      <c r="I254" s="29"/>
    </row>
    <row r="255" spans="1:9">
      <c r="A255">
        <v>2021</v>
      </c>
      <c r="B255" s="10" t="s">
        <v>257</v>
      </c>
      <c r="C255" s="10">
        <v>0</v>
      </c>
      <c r="D255" s="26"/>
      <c r="E255" s="26"/>
      <c r="F255" s="28"/>
      <c r="G255" s="26"/>
      <c r="H255" s="29"/>
      <c r="I255" s="29"/>
    </row>
    <row r="256" spans="1:9">
      <c r="A256">
        <v>2021</v>
      </c>
      <c r="B256" s="10" t="s">
        <v>272</v>
      </c>
      <c r="C256" s="10">
        <v>0</v>
      </c>
      <c r="D256" s="26"/>
      <c r="E256" s="26"/>
      <c r="F256" s="28"/>
      <c r="G256" s="26"/>
      <c r="H256" s="29"/>
      <c r="I256" s="29"/>
    </row>
    <row r="257" spans="1:9">
      <c r="A257">
        <v>2021</v>
      </c>
      <c r="B257" s="10" t="s">
        <v>274</v>
      </c>
      <c r="C257" s="23">
        <v>265525</v>
      </c>
      <c r="D257" s="29"/>
      <c r="E257" s="26"/>
      <c r="F257" s="28"/>
      <c r="G257" s="29"/>
      <c r="H257" s="29"/>
      <c r="I257" s="29"/>
    </row>
    <row r="258" spans="1:9">
      <c r="A258">
        <v>2021</v>
      </c>
      <c r="B258" s="10" t="s">
        <v>273</v>
      </c>
      <c r="C258" s="10">
        <v>0</v>
      </c>
      <c r="D258" s="26"/>
      <c r="E258" s="26"/>
      <c r="F258" s="28"/>
      <c r="G258" s="26"/>
      <c r="H258" s="29"/>
      <c r="I258" s="29"/>
    </row>
    <row r="259" spans="1:9">
      <c r="A259">
        <v>2021</v>
      </c>
      <c r="B259" s="10" t="s">
        <v>278</v>
      </c>
      <c r="C259" s="10">
        <v>0</v>
      </c>
      <c r="D259" s="26"/>
      <c r="E259" s="26"/>
      <c r="F259" s="28"/>
      <c r="G259" s="26"/>
      <c r="H259" s="29"/>
      <c r="I259" s="29"/>
    </row>
    <row r="260" spans="1:9">
      <c r="A260">
        <v>2021</v>
      </c>
      <c r="B260" s="10" t="s">
        <v>280</v>
      </c>
      <c r="C260" s="23">
        <v>1070793</v>
      </c>
      <c r="D260" s="29"/>
      <c r="E260" s="26"/>
      <c r="F260" s="28"/>
      <c r="G260" s="29"/>
      <c r="H260" s="29"/>
      <c r="I260" s="29"/>
    </row>
    <row r="261" spans="1:9">
      <c r="A261">
        <v>2021</v>
      </c>
      <c r="B261" s="10" t="s">
        <v>115</v>
      </c>
      <c r="C261" s="10">
        <v>0</v>
      </c>
      <c r="D261" s="26"/>
      <c r="E261" s="26"/>
      <c r="F261" s="28"/>
      <c r="G261" s="26"/>
      <c r="H261" s="29"/>
      <c r="I261" s="29"/>
    </row>
    <row r="262" spans="1:9">
      <c r="A262">
        <v>2021</v>
      </c>
      <c r="B262" s="10" t="s">
        <v>216</v>
      </c>
      <c r="C262" s="10">
        <v>0</v>
      </c>
      <c r="D262" s="26"/>
      <c r="E262" s="26"/>
      <c r="F262" s="28"/>
      <c r="G262" s="26"/>
      <c r="H262" s="29"/>
      <c r="I262" s="29"/>
    </row>
    <row r="263" spans="1:9">
      <c r="A263">
        <v>2021</v>
      </c>
      <c r="B263" s="10" t="s">
        <v>213</v>
      </c>
      <c r="C263" s="23">
        <v>24943</v>
      </c>
      <c r="D263" s="29"/>
      <c r="E263" s="26"/>
      <c r="F263" s="28"/>
      <c r="G263" s="29"/>
      <c r="H263" s="29"/>
      <c r="I263" s="29"/>
    </row>
    <row r="264" spans="1:9">
      <c r="A264">
        <v>2021</v>
      </c>
      <c r="B264" s="10" t="s">
        <v>164</v>
      </c>
      <c r="C264" s="10">
        <v>0</v>
      </c>
      <c r="D264" s="26"/>
      <c r="E264" s="26"/>
      <c r="F264" s="28"/>
      <c r="G264" s="26"/>
      <c r="H264" s="29"/>
      <c r="I264" s="29"/>
    </row>
    <row r="265" spans="1:9">
      <c r="A265">
        <v>2021</v>
      </c>
      <c r="B265" s="10" t="s">
        <v>221</v>
      </c>
      <c r="C265" s="10">
        <v>0</v>
      </c>
      <c r="D265" s="26"/>
      <c r="E265" s="26"/>
      <c r="F265" s="28"/>
      <c r="G265" s="26"/>
      <c r="H265" s="29"/>
      <c r="I265" s="29"/>
    </row>
    <row r="266" spans="1:9">
      <c r="A266">
        <v>2021</v>
      </c>
      <c r="B266" s="10" t="s">
        <v>165</v>
      </c>
      <c r="C266" s="23">
        <v>204270</v>
      </c>
      <c r="D266" s="29"/>
      <c r="E266" s="26"/>
      <c r="F266" s="28"/>
      <c r="G266" s="29"/>
      <c r="H266" s="26"/>
      <c r="I266" s="29"/>
    </row>
    <row r="267" spans="1:9">
      <c r="A267">
        <v>2021</v>
      </c>
      <c r="B267" s="10" t="s">
        <v>166</v>
      </c>
      <c r="C267" s="10">
        <v>0</v>
      </c>
      <c r="D267" s="26"/>
      <c r="E267" s="26"/>
      <c r="F267" s="28"/>
      <c r="G267" s="26"/>
      <c r="H267" s="29"/>
      <c r="I267" s="29"/>
    </row>
    <row r="268" spans="1:9">
      <c r="A268">
        <v>2021</v>
      </c>
      <c r="B268" s="10" t="s">
        <v>167</v>
      </c>
      <c r="C268" s="10">
        <v>0</v>
      </c>
      <c r="D268" s="26"/>
      <c r="E268" s="26"/>
      <c r="F268" s="28"/>
      <c r="G268" s="26"/>
      <c r="H268" s="29"/>
      <c r="I268" s="29"/>
    </row>
    <row r="269" spans="1:9">
      <c r="A269">
        <v>2021</v>
      </c>
      <c r="B269" s="10" t="s">
        <v>169</v>
      </c>
      <c r="C269" s="10">
        <v>0</v>
      </c>
      <c r="D269" s="26"/>
      <c r="E269" s="26"/>
      <c r="F269" s="28"/>
      <c r="G269" s="26"/>
      <c r="H269" s="29"/>
      <c r="I269" s="29"/>
    </row>
    <row r="270" spans="1:9">
      <c r="A270">
        <v>2021</v>
      </c>
      <c r="B270" s="10" t="s">
        <v>170</v>
      </c>
      <c r="C270" s="10">
        <v>0</v>
      </c>
      <c r="D270" s="26"/>
      <c r="E270" s="26"/>
      <c r="F270" s="28"/>
      <c r="G270" s="26"/>
      <c r="H270" s="29"/>
      <c r="I270" s="29"/>
    </row>
    <row r="271" spans="1:9">
      <c r="A271">
        <v>2021</v>
      </c>
      <c r="B271" s="10" t="s">
        <v>275</v>
      </c>
      <c r="C271" s="10">
        <v>0</v>
      </c>
      <c r="D271" s="26"/>
      <c r="E271" s="26"/>
      <c r="F271" s="28"/>
      <c r="G271" s="26"/>
      <c r="H271" s="29"/>
      <c r="I271" s="29"/>
    </row>
    <row r="272" spans="1:9">
      <c r="A272">
        <v>2021</v>
      </c>
      <c r="B272" s="10" t="s">
        <v>349</v>
      </c>
      <c r="C272" s="23">
        <v>2462957</v>
      </c>
      <c r="D272" s="29"/>
      <c r="E272" s="26"/>
      <c r="F272" s="28"/>
      <c r="G272" s="29"/>
      <c r="H272" s="29"/>
      <c r="I272" s="29"/>
    </row>
    <row r="273" spans="1:9">
      <c r="A273">
        <v>2021</v>
      </c>
      <c r="B273" s="10" t="s">
        <v>211</v>
      </c>
      <c r="C273" s="10">
        <v>0</v>
      </c>
      <c r="D273" s="26"/>
      <c r="E273" s="26"/>
      <c r="F273" s="28"/>
      <c r="G273" s="26"/>
      <c r="H273" s="29"/>
      <c r="I273" s="29"/>
    </row>
    <row r="274" spans="1:9">
      <c r="A274">
        <v>2021</v>
      </c>
      <c r="B274" s="10" t="s">
        <v>171</v>
      </c>
      <c r="C274" s="10">
        <v>0</v>
      </c>
      <c r="D274" s="26"/>
      <c r="E274" s="26"/>
      <c r="F274" s="28"/>
      <c r="G274" s="26"/>
      <c r="H274" s="29"/>
      <c r="I274" s="29"/>
    </row>
    <row r="275" spans="1:9">
      <c r="A275">
        <v>2021</v>
      </c>
      <c r="B275" s="10" t="s">
        <v>245</v>
      </c>
      <c r="C275" s="10">
        <v>0</v>
      </c>
      <c r="D275" s="26"/>
      <c r="E275" s="26"/>
      <c r="F275" s="28"/>
      <c r="G275" s="26"/>
      <c r="H275" s="29"/>
      <c r="I275" s="29"/>
    </row>
    <row r="276" spans="1:9">
      <c r="A276">
        <v>2021</v>
      </c>
      <c r="B276" s="10" t="s">
        <v>256</v>
      </c>
      <c r="C276" s="10">
        <v>0</v>
      </c>
      <c r="D276" s="26"/>
      <c r="E276" s="26"/>
      <c r="F276" s="28"/>
      <c r="G276" s="26"/>
      <c r="H276" s="29"/>
      <c r="I276" s="29"/>
    </row>
    <row r="277" spans="1:9">
      <c r="A277">
        <v>2021</v>
      </c>
      <c r="B277" s="10" t="s">
        <v>172</v>
      </c>
      <c r="C277" s="10">
        <v>0</v>
      </c>
      <c r="D277" s="26"/>
      <c r="E277" s="26"/>
      <c r="F277" s="28"/>
      <c r="G277" s="26"/>
      <c r="H277" s="29"/>
      <c r="I277" s="29"/>
    </row>
    <row r="278" spans="1:9">
      <c r="A278">
        <v>2021</v>
      </c>
      <c r="B278" s="10" t="s">
        <v>173</v>
      </c>
      <c r="C278" s="10">
        <v>0</v>
      </c>
      <c r="D278" s="26"/>
      <c r="E278" s="26"/>
      <c r="F278" s="28"/>
      <c r="G278" s="26"/>
      <c r="H278" s="29"/>
      <c r="I278" s="29"/>
    </row>
    <row r="279" spans="1:9">
      <c r="A279">
        <v>2021</v>
      </c>
      <c r="B279" s="10" t="s">
        <v>174</v>
      </c>
      <c r="C279" s="10">
        <v>0</v>
      </c>
      <c r="D279" s="26"/>
      <c r="E279" s="26"/>
      <c r="F279" s="28"/>
      <c r="G279" s="26"/>
      <c r="H279" s="29"/>
      <c r="I279" s="29"/>
    </row>
    <row r="280" spans="1:9">
      <c r="A280">
        <v>2021</v>
      </c>
      <c r="B280" s="10" t="s">
        <v>175</v>
      </c>
      <c r="C280" s="23">
        <v>237655</v>
      </c>
      <c r="D280" s="29"/>
      <c r="E280" s="26"/>
      <c r="F280" s="28"/>
      <c r="G280" s="29"/>
      <c r="H280" s="29"/>
      <c r="I280" s="29"/>
    </row>
    <row r="281" spans="1:9">
      <c r="A281">
        <v>2021</v>
      </c>
      <c r="B281" s="10" t="s">
        <v>176</v>
      </c>
      <c r="C281" s="10">
        <v>0</v>
      </c>
      <c r="D281" s="26"/>
      <c r="E281" s="26"/>
      <c r="F281" s="28"/>
      <c r="G281" s="26"/>
      <c r="H281" s="29"/>
      <c r="I281" s="29"/>
    </row>
    <row r="282" spans="1:9">
      <c r="A282">
        <v>2021</v>
      </c>
      <c r="B282" s="10" t="s">
        <v>333</v>
      </c>
      <c r="C282" s="23">
        <v>194679</v>
      </c>
      <c r="D282" s="29"/>
      <c r="E282" s="26"/>
      <c r="F282" s="28"/>
      <c r="G282" s="29"/>
      <c r="H282" s="29"/>
      <c r="I282" s="29"/>
    </row>
    <row r="283" spans="1:9">
      <c r="A283">
        <v>2021</v>
      </c>
      <c r="B283" s="10" t="s">
        <v>350</v>
      </c>
      <c r="C283" s="23">
        <v>624650</v>
      </c>
      <c r="D283" s="29"/>
      <c r="E283" s="26"/>
      <c r="F283" s="28"/>
      <c r="G283" s="29"/>
      <c r="H283" s="29"/>
      <c r="I283" s="29"/>
    </row>
    <row r="284" spans="1:9">
      <c r="A284">
        <v>2021</v>
      </c>
      <c r="B284" s="10" t="s">
        <v>177</v>
      </c>
      <c r="C284" s="10">
        <v>0</v>
      </c>
      <c r="D284" s="26"/>
      <c r="E284" s="26"/>
      <c r="F284" s="28"/>
      <c r="G284" s="26"/>
      <c r="H284" s="29"/>
      <c r="I284" s="29"/>
    </row>
    <row r="285" spans="1:9">
      <c r="A285">
        <v>2021</v>
      </c>
      <c r="B285" s="10" t="s">
        <v>178</v>
      </c>
      <c r="C285" s="10">
        <v>0</v>
      </c>
      <c r="D285" s="26"/>
      <c r="E285" s="26"/>
      <c r="F285" s="28"/>
      <c r="G285" s="26"/>
      <c r="H285" s="29"/>
      <c r="I285" s="29"/>
    </row>
    <row r="286" spans="1:9">
      <c r="A286">
        <v>2021</v>
      </c>
      <c r="B286" s="10" t="s">
        <v>179</v>
      </c>
      <c r="C286" s="10">
        <v>0</v>
      </c>
      <c r="D286" s="26"/>
      <c r="E286" s="26"/>
      <c r="F286" s="28"/>
      <c r="G286" s="26"/>
      <c r="H286" s="29"/>
      <c r="I286" s="29"/>
    </row>
    <row r="287" spans="1:9">
      <c r="A287">
        <v>2021</v>
      </c>
      <c r="B287" s="10" t="s">
        <v>180</v>
      </c>
      <c r="C287" s="10">
        <v>0</v>
      </c>
      <c r="D287" s="26"/>
      <c r="E287" s="26"/>
      <c r="F287" s="28"/>
      <c r="G287" s="26"/>
      <c r="H287" s="29"/>
      <c r="I287" s="29"/>
    </row>
    <row r="288" spans="1:9">
      <c r="A288">
        <v>2021</v>
      </c>
      <c r="B288" s="10" t="s">
        <v>181</v>
      </c>
      <c r="C288" s="10">
        <v>0</v>
      </c>
      <c r="D288" s="26"/>
      <c r="E288" s="26"/>
      <c r="F288" s="28"/>
      <c r="G288" s="26"/>
      <c r="H288" s="29"/>
      <c r="I288" s="29"/>
    </row>
    <row r="289" spans="1:9">
      <c r="A289">
        <v>2021</v>
      </c>
      <c r="B289" s="10" t="s">
        <v>334</v>
      </c>
      <c r="C289" s="23">
        <v>729445</v>
      </c>
      <c r="D289" s="29"/>
      <c r="E289" s="26"/>
      <c r="F289" s="28"/>
      <c r="G289" s="29"/>
      <c r="H289" s="29"/>
      <c r="I289" s="29"/>
    </row>
    <row r="290" spans="1:9">
      <c r="A290">
        <v>2021</v>
      </c>
      <c r="B290" s="10" t="s">
        <v>305</v>
      </c>
      <c r="C290" s="23">
        <v>343480</v>
      </c>
      <c r="D290" s="29"/>
      <c r="E290" s="26"/>
      <c r="F290" s="28"/>
      <c r="G290" s="29"/>
      <c r="H290" s="29"/>
      <c r="I290" s="29"/>
    </row>
    <row r="291" spans="1:9">
      <c r="A291">
        <v>2021</v>
      </c>
      <c r="B291" s="10" t="s">
        <v>185</v>
      </c>
      <c r="C291" s="10">
        <v>0</v>
      </c>
      <c r="D291" s="26"/>
      <c r="E291" s="26"/>
      <c r="F291" s="28"/>
      <c r="G291" s="26"/>
      <c r="H291" s="29"/>
      <c r="I291" s="29"/>
    </row>
    <row r="292" spans="1:9">
      <c r="A292">
        <v>2021</v>
      </c>
      <c r="B292" s="10" t="s">
        <v>184</v>
      </c>
      <c r="C292" s="10">
        <v>0</v>
      </c>
      <c r="D292" s="26"/>
      <c r="E292" s="26"/>
      <c r="F292" s="28"/>
      <c r="G292" s="26"/>
      <c r="H292" s="29"/>
      <c r="I292" s="29"/>
    </row>
    <row r="293" spans="1:9">
      <c r="A293">
        <v>2021</v>
      </c>
      <c r="B293" s="10" t="s">
        <v>186</v>
      </c>
      <c r="C293" s="10">
        <v>0</v>
      </c>
      <c r="D293" s="26"/>
      <c r="E293" s="26"/>
      <c r="F293" s="28"/>
      <c r="G293" s="26"/>
      <c r="H293" s="29"/>
      <c r="I293" s="29"/>
    </row>
    <row r="294" spans="1:9">
      <c r="A294">
        <v>2021</v>
      </c>
      <c r="B294" s="10" t="s">
        <v>276</v>
      </c>
      <c r="C294" s="23">
        <v>478839</v>
      </c>
      <c r="D294" s="29"/>
      <c r="E294" s="26"/>
      <c r="F294" s="28"/>
      <c r="G294" s="29"/>
      <c r="H294" s="29"/>
      <c r="I294" s="29"/>
    </row>
    <row r="295" spans="1:9">
      <c r="A295">
        <v>2021</v>
      </c>
      <c r="B295" s="10" t="s">
        <v>270</v>
      </c>
      <c r="C295" s="23">
        <v>721405</v>
      </c>
      <c r="D295" s="29"/>
      <c r="E295" s="26"/>
      <c r="F295" s="28"/>
      <c r="G295" s="29"/>
      <c r="H295" s="29"/>
      <c r="I295" s="29"/>
    </row>
    <row r="296" spans="1:9">
      <c r="A296">
        <v>2021</v>
      </c>
      <c r="B296" s="10" t="s">
        <v>351</v>
      </c>
      <c r="C296" s="23">
        <v>259515</v>
      </c>
      <c r="D296" s="29"/>
      <c r="E296" s="26"/>
      <c r="F296" s="28"/>
      <c r="G296" s="29"/>
      <c r="H296" s="29"/>
      <c r="I296" s="29"/>
    </row>
    <row r="297" spans="1:9">
      <c r="A297">
        <v>2021</v>
      </c>
      <c r="B297" s="10" t="s">
        <v>188</v>
      </c>
      <c r="C297" s="23">
        <v>15625</v>
      </c>
      <c r="D297" s="29"/>
      <c r="E297" s="26"/>
      <c r="F297" s="28"/>
      <c r="G297" s="29"/>
      <c r="H297" s="29"/>
      <c r="I297" s="29"/>
    </row>
    <row r="298" spans="1:9">
      <c r="A298">
        <v>2021</v>
      </c>
      <c r="B298" s="10" t="s">
        <v>352</v>
      </c>
      <c r="C298" s="23">
        <v>2814728</v>
      </c>
      <c r="D298" s="29"/>
      <c r="E298" s="26"/>
      <c r="F298" s="28"/>
      <c r="G298" s="29"/>
      <c r="H298" s="29"/>
      <c r="I298" s="29"/>
    </row>
    <row r="299" spans="1:9">
      <c r="A299">
        <v>2021</v>
      </c>
      <c r="B299" s="10" t="s">
        <v>233</v>
      </c>
      <c r="C299" s="23">
        <v>906213</v>
      </c>
      <c r="D299" s="29"/>
      <c r="E299" s="26"/>
      <c r="F299" s="28"/>
      <c r="G299" s="29"/>
      <c r="H299" s="29"/>
      <c r="I299" s="29"/>
    </row>
    <row r="300" spans="1:9">
      <c r="A300">
        <v>2021</v>
      </c>
      <c r="B300" s="10" t="s">
        <v>277</v>
      </c>
      <c r="C300" s="23">
        <v>238664</v>
      </c>
      <c r="D300" s="29"/>
      <c r="E300" s="26"/>
      <c r="F300" s="28"/>
      <c r="G300" s="29"/>
      <c r="H300" s="29"/>
      <c r="I300" s="29"/>
    </row>
    <row r="301" spans="1:9">
      <c r="A301">
        <v>2021</v>
      </c>
      <c r="B301" s="10" t="s">
        <v>335</v>
      </c>
      <c r="C301" s="23">
        <v>1166126</v>
      </c>
      <c r="D301" s="29"/>
      <c r="E301" s="26"/>
      <c r="F301" s="28"/>
      <c r="G301" s="29"/>
      <c r="H301" s="29"/>
      <c r="I301" s="29"/>
    </row>
    <row r="302" spans="1:9">
      <c r="A302">
        <v>2021</v>
      </c>
      <c r="B302" s="10" t="s">
        <v>236</v>
      </c>
      <c r="C302" s="23">
        <v>332938</v>
      </c>
      <c r="D302" s="29"/>
      <c r="E302" s="26"/>
      <c r="F302" s="28"/>
      <c r="G302" s="29"/>
      <c r="H302" s="29"/>
      <c r="I302" s="29"/>
    </row>
    <row r="303" spans="1:9">
      <c r="A303">
        <v>2021</v>
      </c>
      <c r="B303" s="10" t="s">
        <v>189</v>
      </c>
      <c r="C303" s="10">
        <v>0</v>
      </c>
      <c r="D303" s="26"/>
      <c r="E303" s="26"/>
      <c r="F303" s="28"/>
      <c r="G303" s="26"/>
      <c r="H303" s="29"/>
      <c r="I303" s="29"/>
    </row>
    <row r="304" spans="1:9">
      <c r="A304">
        <v>2021</v>
      </c>
      <c r="B304" s="10" t="s">
        <v>260</v>
      </c>
      <c r="C304" s="23">
        <v>371325</v>
      </c>
      <c r="D304" s="29"/>
      <c r="E304" s="26"/>
      <c r="F304" s="28"/>
      <c r="G304" s="29"/>
      <c r="H304" s="29"/>
      <c r="I304" s="29"/>
    </row>
    <row r="305" spans="1:9">
      <c r="A305">
        <v>2021</v>
      </c>
      <c r="B305" s="10" t="s">
        <v>190</v>
      </c>
      <c r="C305" s="23">
        <v>1482665</v>
      </c>
      <c r="D305" s="29"/>
      <c r="E305" s="26"/>
      <c r="F305" s="28"/>
      <c r="G305" s="29"/>
      <c r="H305" s="29"/>
      <c r="I305" s="29"/>
    </row>
    <row r="306" spans="1:9">
      <c r="A306">
        <v>2021</v>
      </c>
      <c r="B306" s="10" t="s">
        <v>191</v>
      </c>
      <c r="C306" s="23">
        <v>137736</v>
      </c>
      <c r="D306" s="29"/>
      <c r="E306" s="26"/>
      <c r="F306" s="28"/>
      <c r="G306" s="29"/>
      <c r="H306" s="29"/>
      <c r="I306" s="29"/>
    </row>
    <row r="307" spans="1:9">
      <c r="A307">
        <v>2021</v>
      </c>
      <c r="B307" s="10" t="s">
        <v>192</v>
      </c>
      <c r="C307" s="10">
        <v>0</v>
      </c>
      <c r="D307" s="26"/>
      <c r="E307" s="26"/>
      <c r="F307" s="28"/>
      <c r="G307" s="26"/>
      <c r="H307" s="29"/>
      <c r="I307" s="29"/>
    </row>
    <row r="308" spans="1:9">
      <c r="A308">
        <v>2021</v>
      </c>
      <c r="B308" s="10" t="s">
        <v>193</v>
      </c>
      <c r="C308" s="10">
        <v>0</v>
      </c>
      <c r="D308" s="26"/>
      <c r="E308" s="26"/>
      <c r="F308" s="28"/>
      <c r="G308" s="26"/>
      <c r="H308" s="29"/>
      <c r="I308" s="29"/>
    </row>
    <row r="309" spans="1:9">
      <c r="A309">
        <v>2021</v>
      </c>
      <c r="B309" s="10" t="s">
        <v>194</v>
      </c>
      <c r="C309" s="10">
        <v>0</v>
      </c>
      <c r="D309" s="26"/>
      <c r="E309" s="26"/>
      <c r="F309" s="28"/>
      <c r="G309" s="26"/>
      <c r="H309" s="29"/>
      <c r="I309" s="29"/>
    </row>
    <row r="310" spans="1:9">
      <c r="A310">
        <v>2021</v>
      </c>
      <c r="B310" s="10" t="s">
        <v>220</v>
      </c>
      <c r="C310" s="10">
        <v>0</v>
      </c>
      <c r="D310" s="26"/>
      <c r="E310" s="26"/>
      <c r="F310" s="28"/>
      <c r="G310" s="26"/>
      <c r="H310" s="29"/>
      <c r="I310" s="29"/>
    </row>
    <row r="311" spans="1:9">
      <c r="A311">
        <v>2021</v>
      </c>
      <c r="B311" s="10" t="s">
        <v>195</v>
      </c>
      <c r="C311" s="10">
        <v>0</v>
      </c>
      <c r="D311" s="26"/>
      <c r="E311" s="26"/>
      <c r="F311" s="28"/>
      <c r="G311" s="26"/>
      <c r="H311" s="29"/>
      <c r="I311" s="29"/>
    </row>
    <row r="313" spans="1:9">
      <c r="B313" s="12" t="s">
        <v>297</v>
      </c>
      <c r="C313" s="21">
        <f>SUM(C2:C311)</f>
        <v>125910462</v>
      </c>
    </row>
    <row r="314" spans="1:9">
      <c r="B314" s="12"/>
    </row>
    <row r="315" spans="1:9">
      <c r="B315" s="12" t="s">
        <v>296</v>
      </c>
      <c r="C315" s="21">
        <v>125910465</v>
      </c>
    </row>
    <row r="317" spans="1:9">
      <c r="B317" s="13" t="s">
        <v>295</v>
      </c>
      <c r="C317" s="24">
        <f>C313-C315</f>
        <v>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28AA-D7CF-A44E-9FCB-7C2AEB4E5532}">
  <sheetPr>
    <tabColor rgb="FFFFFF00"/>
  </sheetPr>
  <dimension ref="A1:I274"/>
  <sheetViews>
    <sheetView workbookViewId="0">
      <selection activeCell="A2" sqref="A2:C268"/>
    </sheetView>
  </sheetViews>
  <sheetFormatPr baseColWidth="10" defaultRowHeight="16"/>
  <cols>
    <col min="2" max="2" width="27.5" style="10" bestFit="1" customWidth="1"/>
    <col min="3" max="3" width="15" style="30" bestFit="1" customWidth="1"/>
    <col min="4" max="4" width="13.5" bestFit="1" customWidth="1"/>
  </cols>
  <sheetData>
    <row r="1" spans="1:9">
      <c r="A1" t="s">
        <v>356</v>
      </c>
      <c r="B1" s="10" t="s">
        <v>293</v>
      </c>
      <c r="C1" s="10" t="s">
        <v>294</v>
      </c>
    </row>
    <row r="2" spans="1:9">
      <c r="A2">
        <v>2022</v>
      </c>
      <c r="B2" s="10" t="s">
        <v>26</v>
      </c>
      <c r="C2" s="30">
        <v>0</v>
      </c>
      <c r="D2" s="27"/>
      <c r="E2" s="27"/>
      <c r="F2" s="28"/>
      <c r="G2" s="27"/>
      <c r="H2" s="27"/>
      <c r="I2" s="27"/>
    </row>
    <row r="3" spans="1:9">
      <c r="A3">
        <v>2022</v>
      </c>
      <c r="B3" s="10" t="s">
        <v>27</v>
      </c>
      <c r="C3" s="23">
        <v>14780207</v>
      </c>
      <c r="D3" s="29"/>
      <c r="E3" s="26"/>
      <c r="F3" s="28"/>
      <c r="G3" s="29"/>
      <c r="H3" s="29"/>
      <c r="I3" s="29"/>
    </row>
    <row r="4" spans="1:9">
      <c r="A4">
        <v>2022</v>
      </c>
      <c r="B4" s="10" t="s">
        <v>197</v>
      </c>
      <c r="C4" s="23">
        <v>2295577</v>
      </c>
      <c r="D4" s="29"/>
      <c r="E4" s="26"/>
      <c r="F4" s="28"/>
      <c r="G4" s="29"/>
      <c r="H4" s="29"/>
      <c r="I4" s="29"/>
    </row>
    <row r="5" spans="1:9">
      <c r="A5">
        <v>2022</v>
      </c>
      <c r="B5" s="10" t="s">
        <v>306</v>
      </c>
      <c r="C5" s="21">
        <v>6494062</v>
      </c>
      <c r="D5" s="27"/>
      <c r="E5" s="27"/>
      <c r="F5" s="28"/>
      <c r="G5" s="27"/>
      <c r="H5" s="27"/>
      <c r="I5" s="27"/>
    </row>
    <row r="6" spans="1:9">
      <c r="A6">
        <v>2022</v>
      </c>
      <c r="B6" s="10" t="s">
        <v>210</v>
      </c>
      <c r="C6" s="10">
        <v>0</v>
      </c>
      <c r="D6" s="26"/>
      <c r="E6" s="26"/>
      <c r="F6" s="28"/>
      <c r="G6" s="26"/>
      <c r="H6" s="29"/>
      <c r="I6" s="29"/>
    </row>
    <row r="7" spans="1:9">
      <c r="A7">
        <v>2022</v>
      </c>
      <c r="B7" s="10" t="s">
        <v>307</v>
      </c>
      <c r="C7" s="23">
        <v>3367013</v>
      </c>
      <c r="D7" s="29"/>
      <c r="E7" s="26"/>
      <c r="F7" s="28"/>
      <c r="G7" s="29"/>
      <c r="H7" s="29"/>
      <c r="I7" s="29"/>
    </row>
    <row r="8" spans="1:9">
      <c r="A8">
        <v>2022</v>
      </c>
      <c r="B8" s="10" t="s">
        <v>232</v>
      </c>
      <c r="C8" s="10">
        <v>0</v>
      </c>
      <c r="D8" s="26"/>
      <c r="E8" s="26"/>
      <c r="F8" s="28"/>
      <c r="G8" s="26"/>
      <c r="H8" s="29"/>
      <c r="I8" s="29"/>
    </row>
    <row r="9" spans="1:9">
      <c r="A9">
        <v>2022</v>
      </c>
      <c r="B9" s="10" t="s">
        <v>0</v>
      </c>
      <c r="C9" s="10">
        <v>0</v>
      </c>
      <c r="D9" s="26"/>
      <c r="E9" s="26"/>
      <c r="F9" s="28"/>
      <c r="G9" s="26"/>
      <c r="H9" s="29"/>
      <c r="I9" s="29"/>
    </row>
    <row r="10" spans="1:9">
      <c r="A10">
        <v>2022</v>
      </c>
      <c r="B10" s="10" t="s">
        <v>1</v>
      </c>
      <c r="C10" s="10">
        <v>0</v>
      </c>
      <c r="D10" s="26"/>
      <c r="E10" s="26"/>
      <c r="F10" s="28"/>
      <c r="G10" s="26"/>
      <c r="H10" s="29"/>
      <c r="I10" s="29"/>
    </row>
    <row r="11" spans="1:9">
      <c r="A11">
        <v>2022</v>
      </c>
      <c r="B11" s="10" t="s">
        <v>2</v>
      </c>
      <c r="C11" s="23">
        <v>562740</v>
      </c>
      <c r="D11" s="29"/>
      <c r="E11" s="26"/>
      <c r="F11" s="28"/>
      <c r="G11" s="29"/>
      <c r="H11" s="29"/>
      <c r="I11" s="29"/>
    </row>
    <row r="12" spans="1:9">
      <c r="A12">
        <v>2022</v>
      </c>
      <c r="B12" s="10" t="s">
        <v>3</v>
      </c>
      <c r="C12" s="23">
        <v>1099652</v>
      </c>
      <c r="D12" s="29"/>
      <c r="E12" s="26"/>
      <c r="F12" s="28"/>
      <c r="G12" s="29"/>
      <c r="H12" s="29"/>
      <c r="I12" s="29"/>
    </row>
    <row r="13" spans="1:9">
      <c r="A13">
        <v>2022</v>
      </c>
      <c r="B13" s="10" t="s">
        <v>4</v>
      </c>
      <c r="C13" s="10">
        <v>0</v>
      </c>
      <c r="D13" s="26"/>
      <c r="E13" s="26"/>
      <c r="F13" s="28"/>
      <c r="G13" s="26"/>
      <c r="H13" s="29"/>
      <c r="I13" s="29"/>
    </row>
    <row r="14" spans="1:9">
      <c r="A14">
        <v>2022</v>
      </c>
      <c r="B14" s="10" t="s">
        <v>5</v>
      </c>
      <c r="C14" s="10">
        <v>0</v>
      </c>
      <c r="D14" s="26"/>
      <c r="E14" s="26"/>
      <c r="F14" s="28"/>
      <c r="G14" s="26"/>
      <c r="H14" s="29"/>
      <c r="I14" s="29"/>
    </row>
    <row r="15" spans="1:9">
      <c r="A15">
        <v>2022</v>
      </c>
      <c r="B15" s="10" t="s">
        <v>6</v>
      </c>
      <c r="C15" s="10">
        <v>0</v>
      </c>
      <c r="D15" s="26"/>
      <c r="E15" s="26"/>
      <c r="F15" s="28"/>
      <c r="G15" s="26"/>
      <c r="H15" s="29"/>
      <c r="I15" s="29"/>
    </row>
    <row r="16" spans="1:9">
      <c r="A16">
        <v>2022</v>
      </c>
      <c r="B16" s="10" t="s">
        <v>7</v>
      </c>
      <c r="C16" s="10">
        <v>0</v>
      </c>
      <c r="D16" s="26"/>
      <c r="E16" s="26"/>
      <c r="F16" s="28"/>
      <c r="G16" s="26"/>
      <c r="H16" s="29"/>
      <c r="I16" s="29"/>
    </row>
    <row r="17" spans="1:9">
      <c r="A17">
        <v>2022</v>
      </c>
      <c r="B17" s="10" t="s">
        <v>285</v>
      </c>
      <c r="C17" s="10">
        <v>0</v>
      </c>
      <c r="D17" s="26"/>
      <c r="E17" s="26"/>
      <c r="F17" s="28"/>
      <c r="G17" s="26"/>
      <c r="H17" s="29"/>
      <c r="I17" s="29"/>
    </row>
    <row r="18" spans="1:9">
      <c r="A18">
        <v>2022</v>
      </c>
      <c r="B18" s="10" t="s">
        <v>8</v>
      </c>
      <c r="C18" s="10">
        <v>0</v>
      </c>
      <c r="D18" s="26"/>
      <c r="E18" s="26"/>
      <c r="F18" s="28"/>
      <c r="G18" s="26"/>
      <c r="H18" s="29"/>
      <c r="I18" s="29"/>
    </row>
    <row r="19" spans="1:9">
      <c r="A19">
        <v>2022</v>
      </c>
      <c r="B19" s="10" t="s">
        <v>336</v>
      </c>
      <c r="C19" s="23">
        <v>8046178</v>
      </c>
      <c r="D19" s="29"/>
      <c r="E19" s="26"/>
      <c r="F19" s="28"/>
      <c r="G19" s="29"/>
      <c r="H19" s="29"/>
      <c r="I19" s="29"/>
    </row>
    <row r="20" spans="1:9">
      <c r="A20">
        <v>2022</v>
      </c>
      <c r="B20" s="10" t="s">
        <v>301</v>
      </c>
      <c r="C20" s="23">
        <v>495529</v>
      </c>
      <c r="D20" s="29"/>
      <c r="E20" s="26"/>
      <c r="F20" s="28"/>
      <c r="G20" s="29"/>
      <c r="H20" s="29"/>
      <c r="I20" s="29"/>
    </row>
    <row r="21" spans="1:9">
      <c r="A21">
        <v>2022</v>
      </c>
      <c r="B21" s="10" t="s">
        <v>9</v>
      </c>
      <c r="C21" s="10">
        <v>0</v>
      </c>
      <c r="D21" s="26"/>
      <c r="E21" s="26"/>
      <c r="F21" s="28"/>
      <c r="G21" s="26"/>
      <c r="H21" s="29"/>
      <c r="I21" s="29"/>
    </row>
    <row r="22" spans="1:9">
      <c r="A22">
        <v>2022</v>
      </c>
      <c r="B22" s="10" t="s">
        <v>10</v>
      </c>
      <c r="C22" s="10">
        <v>0</v>
      </c>
      <c r="D22" s="26"/>
      <c r="E22" s="26"/>
      <c r="F22" s="28"/>
      <c r="G22" s="26"/>
      <c r="H22" s="29"/>
      <c r="I22" s="29"/>
    </row>
    <row r="23" spans="1:9">
      <c r="A23">
        <v>2022</v>
      </c>
      <c r="B23" s="10" t="s">
        <v>353</v>
      </c>
      <c r="C23" s="23">
        <v>1836527</v>
      </c>
      <c r="D23" s="29"/>
      <c r="E23" s="26"/>
      <c r="F23" s="28"/>
      <c r="G23" s="29"/>
      <c r="H23" s="29"/>
      <c r="I23" s="29"/>
    </row>
    <row r="24" spans="1:9">
      <c r="A24">
        <v>2022</v>
      </c>
      <c r="B24" s="10" t="s">
        <v>11</v>
      </c>
      <c r="C24" s="10">
        <v>0</v>
      </c>
      <c r="D24" s="26"/>
      <c r="E24" s="26"/>
      <c r="F24" s="28"/>
      <c r="G24" s="26"/>
      <c r="H24" s="29"/>
      <c r="I24" s="29"/>
    </row>
    <row r="25" spans="1:9">
      <c r="A25">
        <v>2022</v>
      </c>
      <c r="B25" s="10" t="s">
        <v>12</v>
      </c>
      <c r="C25" s="10">
        <v>0</v>
      </c>
      <c r="D25" s="26"/>
      <c r="E25" s="26"/>
      <c r="F25" s="28"/>
      <c r="G25" s="26"/>
      <c r="H25" s="29"/>
      <c r="I25" s="29"/>
    </row>
    <row r="26" spans="1:9">
      <c r="A26">
        <v>2022</v>
      </c>
      <c r="B26" s="10" t="s">
        <v>13</v>
      </c>
      <c r="C26" s="10">
        <v>0</v>
      </c>
      <c r="D26" s="26"/>
      <c r="E26" s="26"/>
      <c r="F26" s="28"/>
      <c r="G26" s="26"/>
      <c r="H26" s="29"/>
      <c r="I26" s="29"/>
    </row>
    <row r="27" spans="1:9">
      <c r="A27">
        <v>2022</v>
      </c>
      <c r="B27" s="10" t="s">
        <v>14</v>
      </c>
      <c r="C27" s="10">
        <v>0</v>
      </c>
      <c r="D27" s="26"/>
      <c r="E27" s="26"/>
      <c r="F27" s="28"/>
      <c r="G27" s="26"/>
      <c r="H27" s="29"/>
      <c r="I27" s="29"/>
    </row>
    <row r="28" spans="1:9">
      <c r="A28">
        <v>2022</v>
      </c>
      <c r="B28" s="10" t="s">
        <v>264</v>
      </c>
      <c r="C28" s="23">
        <v>1161473</v>
      </c>
      <c r="D28" s="29"/>
      <c r="E28" s="26"/>
      <c r="F28" s="28"/>
      <c r="G28" s="29"/>
      <c r="H28" s="29"/>
      <c r="I28" s="29"/>
    </row>
    <row r="29" spans="1:9">
      <c r="A29">
        <v>2022</v>
      </c>
      <c r="B29" s="10" t="s">
        <v>16</v>
      </c>
      <c r="C29" s="10">
        <v>0</v>
      </c>
      <c r="D29" s="26"/>
      <c r="E29" s="26"/>
      <c r="F29" s="28"/>
      <c r="G29" s="26"/>
      <c r="H29" s="29"/>
      <c r="I29" s="29"/>
    </row>
    <row r="30" spans="1:9">
      <c r="A30">
        <v>2022</v>
      </c>
      <c r="B30" s="10" t="s">
        <v>19</v>
      </c>
      <c r="C30" s="10">
        <v>0</v>
      </c>
      <c r="D30" s="26"/>
      <c r="E30" s="26"/>
      <c r="F30" s="28"/>
      <c r="G30" s="26"/>
      <c r="H30" s="29"/>
      <c r="I30" s="29"/>
    </row>
    <row r="31" spans="1:9">
      <c r="A31">
        <v>2022</v>
      </c>
      <c r="B31" s="10" t="s">
        <v>219</v>
      </c>
      <c r="C31" s="10">
        <v>0</v>
      </c>
      <c r="D31" s="26"/>
      <c r="E31" s="26"/>
      <c r="F31" s="28"/>
      <c r="G31" s="26"/>
      <c r="H31" s="29"/>
      <c r="I31" s="29"/>
    </row>
    <row r="32" spans="1:9">
      <c r="A32">
        <v>2022</v>
      </c>
      <c r="B32" s="10" t="s">
        <v>22</v>
      </c>
      <c r="C32" s="23">
        <v>350842</v>
      </c>
      <c r="D32" s="29"/>
      <c r="E32" s="26"/>
      <c r="F32" s="28"/>
      <c r="G32" s="29"/>
      <c r="H32" s="29"/>
      <c r="I32" s="29"/>
    </row>
    <row r="33" spans="1:9">
      <c r="A33">
        <v>2022</v>
      </c>
      <c r="B33" s="10" t="s">
        <v>23</v>
      </c>
      <c r="C33" s="10">
        <v>0</v>
      </c>
      <c r="D33" s="26"/>
      <c r="E33" s="26"/>
      <c r="F33" s="28"/>
      <c r="G33" s="26"/>
      <c r="H33" s="29"/>
      <c r="I33" s="29"/>
    </row>
    <row r="34" spans="1:9">
      <c r="A34">
        <v>2022</v>
      </c>
      <c r="B34" s="10" t="s">
        <v>25</v>
      </c>
      <c r="C34" s="10">
        <v>0</v>
      </c>
      <c r="D34" s="26"/>
      <c r="E34" s="26"/>
      <c r="F34" s="28"/>
      <c r="G34" s="26"/>
      <c r="H34" s="29"/>
      <c r="I34" s="29"/>
    </row>
    <row r="35" spans="1:9">
      <c r="A35">
        <v>2022</v>
      </c>
      <c r="B35" s="10" t="s">
        <v>28</v>
      </c>
      <c r="C35" s="23">
        <v>515807</v>
      </c>
      <c r="D35" s="29"/>
      <c r="E35" s="26"/>
      <c r="F35" s="28"/>
      <c r="G35" s="29"/>
      <c r="H35" s="29"/>
      <c r="I35" s="29"/>
    </row>
    <row r="36" spans="1:9">
      <c r="A36">
        <v>2022</v>
      </c>
      <c r="B36" s="10" t="s">
        <v>29</v>
      </c>
      <c r="C36" s="10">
        <v>0</v>
      </c>
      <c r="D36" s="26"/>
      <c r="E36" s="26"/>
      <c r="F36" s="28"/>
      <c r="G36" s="26"/>
      <c r="H36" s="29"/>
      <c r="I36" s="29"/>
    </row>
    <row r="37" spans="1:9">
      <c r="A37">
        <v>2022</v>
      </c>
      <c r="B37" s="10" t="s">
        <v>354</v>
      </c>
      <c r="C37" s="23">
        <v>1155761</v>
      </c>
      <c r="D37" s="29"/>
      <c r="E37" s="26"/>
      <c r="F37" s="28"/>
      <c r="G37" s="29"/>
      <c r="H37" s="29"/>
      <c r="I37" s="29"/>
    </row>
    <row r="38" spans="1:9">
      <c r="A38">
        <v>2022</v>
      </c>
      <c r="B38" s="10" t="s">
        <v>314</v>
      </c>
      <c r="C38" s="23">
        <v>1338716</v>
      </c>
      <c r="D38" s="29"/>
      <c r="E38" s="26"/>
      <c r="F38" s="28"/>
      <c r="G38" s="29"/>
      <c r="H38" s="29"/>
      <c r="I38" s="29"/>
    </row>
    <row r="39" spans="1:9">
      <c r="A39">
        <v>2022</v>
      </c>
      <c r="B39" s="10" t="s">
        <v>252</v>
      </c>
      <c r="C39" s="10">
        <v>0</v>
      </c>
      <c r="D39" s="26"/>
      <c r="E39" s="26"/>
      <c r="F39" s="28"/>
      <c r="G39" s="26"/>
      <c r="H39" s="29"/>
      <c r="I39" s="29"/>
    </row>
    <row r="40" spans="1:9">
      <c r="A40">
        <v>2022</v>
      </c>
      <c r="B40" s="10" t="s">
        <v>30</v>
      </c>
      <c r="C40" s="23">
        <v>786212</v>
      </c>
      <c r="D40" s="29"/>
      <c r="E40" s="26"/>
      <c r="F40" s="28"/>
      <c r="G40" s="29"/>
      <c r="H40" s="29"/>
      <c r="I40" s="29"/>
    </row>
    <row r="41" spans="1:9">
      <c r="A41">
        <v>2022</v>
      </c>
      <c r="B41" s="10" t="s">
        <v>31</v>
      </c>
      <c r="C41" s="23">
        <v>912685</v>
      </c>
      <c r="D41" s="29"/>
      <c r="E41" s="26"/>
      <c r="F41" s="28"/>
      <c r="G41" s="29"/>
      <c r="H41" s="29"/>
      <c r="I41" s="29"/>
    </row>
    <row r="42" spans="1:9">
      <c r="A42">
        <v>2022</v>
      </c>
      <c r="B42" s="10" t="s">
        <v>32</v>
      </c>
      <c r="C42" s="10">
        <v>0</v>
      </c>
      <c r="D42" s="26"/>
      <c r="E42" s="26"/>
      <c r="F42" s="28"/>
      <c r="G42" s="26"/>
      <c r="H42" s="29"/>
      <c r="I42" s="29"/>
    </row>
    <row r="43" spans="1:9">
      <c r="A43">
        <v>2022</v>
      </c>
      <c r="B43" s="10" t="s">
        <v>33</v>
      </c>
      <c r="C43" s="10">
        <v>0</v>
      </c>
      <c r="D43" s="26"/>
      <c r="E43" s="26"/>
      <c r="F43" s="28"/>
      <c r="G43" s="26"/>
      <c r="H43" s="29"/>
      <c r="I43" s="29"/>
    </row>
    <row r="44" spans="1:9">
      <c r="A44">
        <v>2022</v>
      </c>
      <c r="B44" s="10" t="s">
        <v>315</v>
      </c>
      <c r="C44" s="23">
        <v>1261617</v>
      </c>
      <c r="D44" s="29"/>
      <c r="E44" s="26"/>
      <c r="F44" s="28"/>
      <c r="G44" s="29"/>
      <c r="H44" s="29"/>
      <c r="I44" s="29"/>
    </row>
    <row r="45" spans="1:9">
      <c r="A45">
        <v>2022</v>
      </c>
      <c r="B45" s="10" t="s">
        <v>337</v>
      </c>
      <c r="C45" s="23">
        <v>676366</v>
      </c>
      <c r="D45" s="29"/>
      <c r="E45" s="26"/>
      <c r="F45" s="28"/>
      <c r="G45" s="29"/>
      <c r="H45" s="29"/>
      <c r="I45" s="29"/>
    </row>
    <row r="46" spans="1:9">
      <c r="A46">
        <v>2022</v>
      </c>
      <c r="B46" s="10" t="s">
        <v>308</v>
      </c>
      <c r="C46" s="23">
        <v>15508647</v>
      </c>
      <c r="D46" s="29"/>
      <c r="E46" s="26"/>
      <c r="F46" s="28"/>
      <c r="G46" s="29"/>
      <c r="H46" s="29"/>
      <c r="I46" s="29"/>
    </row>
    <row r="47" spans="1:9">
      <c r="A47">
        <v>2022</v>
      </c>
      <c r="B47" s="10" t="s">
        <v>34</v>
      </c>
      <c r="C47" s="23">
        <v>378947</v>
      </c>
      <c r="D47" s="29"/>
      <c r="E47" s="26"/>
      <c r="F47" s="28"/>
      <c r="G47" s="29"/>
      <c r="H47" s="29"/>
      <c r="I47" s="29"/>
    </row>
    <row r="48" spans="1:9">
      <c r="A48">
        <v>2022</v>
      </c>
      <c r="B48" s="10" t="s">
        <v>36</v>
      </c>
      <c r="C48" s="10">
        <v>0</v>
      </c>
      <c r="D48" s="26"/>
      <c r="E48" s="26"/>
      <c r="F48" s="28"/>
      <c r="G48" s="26"/>
      <c r="H48" s="29"/>
      <c r="I48" s="29"/>
    </row>
    <row r="49" spans="1:9">
      <c r="A49">
        <v>2022</v>
      </c>
      <c r="B49" s="10" t="s">
        <v>234</v>
      </c>
      <c r="C49" s="10">
        <v>0</v>
      </c>
      <c r="D49" s="26"/>
      <c r="E49" s="26"/>
      <c r="F49" s="28"/>
      <c r="G49" s="26"/>
      <c r="H49" s="29"/>
      <c r="I49" s="29"/>
    </row>
    <row r="50" spans="1:9">
      <c r="A50">
        <v>2022</v>
      </c>
      <c r="B50" s="10" t="s">
        <v>38</v>
      </c>
      <c r="C50" s="23">
        <v>7992217</v>
      </c>
      <c r="D50" s="29"/>
      <c r="E50" s="26"/>
      <c r="F50" s="28"/>
      <c r="G50" s="29"/>
      <c r="H50" s="29"/>
      <c r="I50" s="29"/>
    </row>
    <row r="51" spans="1:9">
      <c r="A51">
        <v>2022</v>
      </c>
      <c r="B51" s="10" t="s">
        <v>39</v>
      </c>
      <c r="C51" s="10">
        <v>0</v>
      </c>
      <c r="D51" s="26"/>
      <c r="E51" s="26"/>
      <c r="F51" s="28"/>
      <c r="G51" s="26"/>
      <c r="H51" s="29"/>
      <c r="I51" s="29"/>
    </row>
    <row r="52" spans="1:9">
      <c r="A52">
        <v>2022</v>
      </c>
      <c r="B52" s="10" t="s">
        <v>41</v>
      </c>
      <c r="C52" s="23">
        <v>368869</v>
      </c>
      <c r="D52" s="29"/>
      <c r="E52" s="26"/>
      <c r="F52" s="28"/>
      <c r="G52" s="29"/>
      <c r="H52" s="29"/>
      <c r="I52" s="29"/>
    </row>
    <row r="53" spans="1:9">
      <c r="A53">
        <v>2022</v>
      </c>
      <c r="B53" s="10" t="s">
        <v>42</v>
      </c>
      <c r="C53" s="23">
        <v>473510</v>
      </c>
      <c r="D53" s="29"/>
      <c r="E53" s="26"/>
      <c r="F53" s="28"/>
      <c r="G53" s="29"/>
      <c r="H53" s="29"/>
      <c r="I53" s="29"/>
    </row>
    <row r="54" spans="1:9">
      <c r="A54">
        <v>2022</v>
      </c>
      <c r="B54" s="10" t="s">
        <v>43</v>
      </c>
      <c r="C54" s="23">
        <v>1095275</v>
      </c>
      <c r="D54" s="29"/>
      <c r="E54" s="26"/>
      <c r="F54" s="28"/>
      <c r="G54" s="29"/>
      <c r="H54" s="29"/>
      <c r="I54" s="29"/>
    </row>
    <row r="55" spans="1:9">
      <c r="A55">
        <v>2022</v>
      </c>
      <c r="B55" s="10" t="s">
        <v>201</v>
      </c>
      <c r="C55" s="23">
        <v>39997</v>
      </c>
      <c r="D55" s="29"/>
      <c r="E55" s="26"/>
      <c r="F55" s="28"/>
      <c r="G55" s="29"/>
      <c r="H55" s="29"/>
      <c r="I55" s="29"/>
    </row>
    <row r="56" spans="1:9">
      <c r="A56">
        <v>2022</v>
      </c>
      <c r="B56" s="10" t="s">
        <v>202</v>
      </c>
      <c r="C56" s="10">
        <v>0</v>
      </c>
      <c r="D56" s="26"/>
      <c r="E56" s="26"/>
      <c r="F56" s="28"/>
      <c r="G56" s="26"/>
      <c r="H56" s="29"/>
      <c r="I56" s="29"/>
    </row>
    <row r="57" spans="1:9">
      <c r="A57">
        <v>2022</v>
      </c>
      <c r="B57" s="10" t="s">
        <v>44</v>
      </c>
      <c r="C57" s="23">
        <v>953800</v>
      </c>
      <c r="D57" s="29"/>
      <c r="E57" s="26"/>
      <c r="F57" s="28"/>
      <c r="G57" s="29"/>
      <c r="H57" s="29"/>
      <c r="I57" s="29"/>
    </row>
    <row r="58" spans="1:9">
      <c r="A58">
        <v>2022</v>
      </c>
      <c r="B58" s="10" t="s">
        <v>45</v>
      </c>
      <c r="C58" s="10">
        <v>0</v>
      </c>
      <c r="D58" s="26"/>
      <c r="E58" s="26"/>
      <c r="F58" s="28"/>
      <c r="G58" s="26"/>
      <c r="H58" s="29"/>
      <c r="I58" s="29"/>
    </row>
    <row r="59" spans="1:9">
      <c r="A59">
        <v>2022</v>
      </c>
      <c r="B59" s="10" t="s">
        <v>46</v>
      </c>
      <c r="C59" s="10">
        <v>0</v>
      </c>
      <c r="D59" s="26"/>
      <c r="E59" s="26"/>
      <c r="F59" s="28"/>
      <c r="G59" s="26"/>
      <c r="H59" s="29"/>
      <c r="I59" s="29"/>
    </row>
    <row r="60" spans="1:9">
      <c r="A60">
        <v>2022</v>
      </c>
      <c r="B60" s="10" t="s">
        <v>47</v>
      </c>
      <c r="C60" s="10">
        <v>0</v>
      </c>
      <c r="D60" s="26"/>
      <c r="E60" s="26"/>
      <c r="F60" s="28"/>
      <c r="G60" s="26"/>
      <c r="H60" s="29"/>
      <c r="I60" s="29"/>
    </row>
    <row r="61" spans="1:9">
      <c r="A61">
        <v>2022</v>
      </c>
      <c r="B61" s="10" t="s">
        <v>48</v>
      </c>
      <c r="C61" s="25">
        <v>0</v>
      </c>
      <c r="D61" s="27"/>
      <c r="E61" s="27"/>
      <c r="F61" s="28"/>
      <c r="G61" s="27"/>
      <c r="H61" s="27"/>
      <c r="I61" s="27"/>
    </row>
    <row r="62" spans="1:9">
      <c r="A62">
        <v>2022</v>
      </c>
      <c r="B62" s="10" t="s">
        <v>316</v>
      </c>
      <c r="C62" s="23">
        <v>451304</v>
      </c>
      <c r="D62" s="29"/>
      <c r="E62" s="26"/>
      <c r="F62" s="28"/>
      <c r="G62" s="29"/>
      <c r="H62" s="29"/>
      <c r="I62" s="29"/>
    </row>
    <row r="63" spans="1:9">
      <c r="A63">
        <v>2022</v>
      </c>
      <c r="B63" s="10" t="s">
        <v>302</v>
      </c>
      <c r="C63" s="10">
        <v>0</v>
      </c>
      <c r="D63" s="26"/>
      <c r="E63" s="26"/>
      <c r="F63" s="28"/>
      <c r="G63" s="26"/>
      <c r="H63" s="29"/>
      <c r="I63" s="29"/>
    </row>
    <row r="64" spans="1:9">
      <c r="A64">
        <v>2022</v>
      </c>
      <c r="B64" s="10" t="s">
        <v>51</v>
      </c>
      <c r="C64" s="10">
        <v>0</v>
      </c>
      <c r="D64" s="26"/>
      <c r="E64" s="26"/>
      <c r="F64" s="28"/>
      <c r="G64" s="26"/>
      <c r="H64" s="29"/>
      <c r="I64" s="29"/>
    </row>
    <row r="65" spans="1:9">
      <c r="A65">
        <v>2022</v>
      </c>
      <c r="B65" s="10" t="s">
        <v>338</v>
      </c>
      <c r="C65" s="23">
        <v>2867894</v>
      </c>
      <c r="D65" s="29"/>
      <c r="E65" s="26"/>
      <c r="F65" s="28"/>
      <c r="G65" s="29"/>
      <c r="H65" s="29"/>
      <c r="I65" s="29"/>
    </row>
    <row r="66" spans="1:9">
      <c r="A66">
        <v>2022</v>
      </c>
      <c r="B66" s="10" t="s">
        <v>240</v>
      </c>
      <c r="C66" s="10">
        <v>0</v>
      </c>
      <c r="D66" s="26"/>
      <c r="E66" s="26"/>
      <c r="F66" s="28"/>
      <c r="G66" s="26"/>
      <c r="H66" s="29"/>
      <c r="I66" s="29"/>
    </row>
    <row r="67" spans="1:9">
      <c r="A67">
        <v>2022</v>
      </c>
      <c r="B67" s="10" t="s">
        <v>54</v>
      </c>
      <c r="C67" s="10">
        <v>0</v>
      </c>
      <c r="D67" s="26"/>
      <c r="E67" s="26"/>
      <c r="F67" s="28"/>
      <c r="G67" s="26"/>
      <c r="H67" s="29"/>
      <c r="I67" s="29"/>
    </row>
    <row r="68" spans="1:9">
      <c r="A68">
        <v>2022</v>
      </c>
      <c r="B68" s="10" t="s">
        <v>309</v>
      </c>
      <c r="C68" s="23">
        <v>16651443</v>
      </c>
      <c r="D68" s="29"/>
      <c r="E68" s="26"/>
      <c r="F68" s="28"/>
      <c r="G68" s="29"/>
      <c r="H68" s="29"/>
      <c r="I68" s="29"/>
    </row>
    <row r="69" spans="1:9">
      <c r="A69">
        <v>2022</v>
      </c>
      <c r="B69" s="10" t="s">
        <v>55</v>
      </c>
      <c r="C69" s="10">
        <v>0</v>
      </c>
      <c r="D69" s="26"/>
      <c r="E69" s="26"/>
      <c r="F69" s="28"/>
      <c r="G69" s="26"/>
      <c r="H69" s="29"/>
      <c r="I69" s="29"/>
    </row>
    <row r="70" spans="1:9">
      <c r="A70">
        <v>2022</v>
      </c>
      <c r="B70" s="10" t="s">
        <v>228</v>
      </c>
      <c r="C70" s="10">
        <v>0</v>
      </c>
      <c r="D70" s="26"/>
      <c r="E70" s="26"/>
      <c r="F70" s="28"/>
      <c r="G70" s="26"/>
      <c r="H70" s="29"/>
      <c r="I70" s="29"/>
    </row>
    <row r="71" spans="1:9">
      <c r="A71">
        <v>2022</v>
      </c>
      <c r="B71" s="10" t="s">
        <v>56</v>
      </c>
      <c r="C71" s="23">
        <v>2224280</v>
      </c>
      <c r="D71" s="29"/>
      <c r="E71" s="26"/>
      <c r="F71" s="28"/>
      <c r="G71" s="29"/>
      <c r="H71" s="29"/>
      <c r="I71" s="29"/>
    </row>
    <row r="72" spans="1:9">
      <c r="A72">
        <v>2022</v>
      </c>
      <c r="B72" s="10" t="s">
        <v>317</v>
      </c>
      <c r="C72" s="23">
        <v>685677</v>
      </c>
      <c r="D72" s="29"/>
      <c r="E72" s="26"/>
      <c r="F72" s="28"/>
      <c r="G72" s="29"/>
      <c r="H72" s="29"/>
      <c r="I72" s="29"/>
    </row>
    <row r="73" spans="1:9">
      <c r="A73">
        <v>2022</v>
      </c>
      <c r="B73" s="10" t="s">
        <v>60</v>
      </c>
      <c r="C73" s="23">
        <v>287998</v>
      </c>
      <c r="D73" s="29"/>
      <c r="E73" s="26"/>
      <c r="F73" s="28"/>
      <c r="G73" s="29"/>
      <c r="H73" s="29"/>
      <c r="I73" s="29"/>
    </row>
    <row r="74" spans="1:9">
      <c r="A74">
        <v>2022</v>
      </c>
      <c r="B74" s="10" t="s">
        <v>237</v>
      </c>
      <c r="C74" s="23">
        <v>1653765</v>
      </c>
      <c r="D74" s="29"/>
      <c r="E74" s="26"/>
      <c r="F74" s="28"/>
      <c r="G74" s="29"/>
      <c r="H74" s="29"/>
      <c r="I74" s="29"/>
    </row>
    <row r="75" spans="1:9">
      <c r="A75">
        <v>2022</v>
      </c>
      <c r="B75" s="10" t="s">
        <v>235</v>
      </c>
      <c r="C75" s="10">
        <v>0</v>
      </c>
      <c r="D75" s="26"/>
      <c r="E75" s="26"/>
      <c r="F75" s="28"/>
      <c r="G75" s="26"/>
      <c r="H75" s="29"/>
      <c r="I75" s="29"/>
    </row>
    <row r="76" spans="1:9">
      <c r="A76">
        <v>2022</v>
      </c>
      <c r="B76" s="10" t="s">
        <v>61</v>
      </c>
      <c r="C76" s="10">
        <v>0</v>
      </c>
      <c r="D76" s="26"/>
      <c r="E76" s="26"/>
      <c r="F76" s="28"/>
      <c r="G76" s="26"/>
      <c r="H76" s="29"/>
      <c r="I76" s="29"/>
    </row>
    <row r="77" spans="1:9">
      <c r="A77">
        <v>2022</v>
      </c>
      <c r="B77" s="10" t="s">
        <v>253</v>
      </c>
      <c r="C77" s="23">
        <v>970466</v>
      </c>
      <c r="D77" s="29"/>
      <c r="E77" s="26"/>
      <c r="F77" s="28"/>
      <c r="G77" s="29"/>
      <c r="H77" s="29"/>
      <c r="I77" s="29"/>
    </row>
    <row r="78" spans="1:9">
      <c r="A78">
        <v>2022</v>
      </c>
      <c r="B78" s="10" t="s">
        <v>62</v>
      </c>
      <c r="C78" s="23">
        <v>1642512</v>
      </c>
      <c r="D78" s="29"/>
      <c r="E78" s="26"/>
      <c r="F78" s="28"/>
      <c r="G78" s="29"/>
      <c r="H78" s="29"/>
      <c r="I78" s="29"/>
    </row>
    <row r="79" spans="1:9">
      <c r="A79">
        <v>2022</v>
      </c>
      <c r="B79" s="10" t="s">
        <v>63</v>
      </c>
      <c r="C79" s="10">
        <v>0</v>
      </c>
      <c r="D79" s="26"/>
      <c r="E79" s="26"/>
      <c r="F79" s="28"/>
      <c r="G79" s="26"/>
      <c r="H79" s="29"/>
      <c r="I79" s="29"/>
    </row>
    <row r="80" spans="1:9">
      <c r="A80">
        <v>2022</v>
      </c>
      <c r="B80" s="10" t="s">
        <v>64</v>
      </c>
      <c r="C80" s="10">
        <v>0</v>
      </c>
      <c r="D80" s="26"/>
      <c r="E80" s="26"/>
      <c r="F80" s="28"/>
      <c r="G80" s="26"/>
      <c r="H80" s="29"/>
      <c r="I80" s="29"/>
    </row>
    <row r="81" spans="1:9">
      <c r="A81">
        <v>2022</v>
      </c>
      <c r="B81" s="10" t="s">
        <v>65</v>
      </c>
      <c r="C81" s="10">
        <v>0</v>
      </c>
      <c r="D81" s="26"/>
      <c r="E81" s="26"/>
      <c r="F81" s="28"/>
      <c r="G81" s="26"/>
      <c r="H81" s="29"/>
      <c r="I81" s="29"/>
    </row>
    <row r="82" spans="1:9">
      <c r="A82">
        <v>2022</v>
      </c>
      <c r="B82" s="10" t="s">
        <v>208</v>
      </c>
      <c r="C82" s="23">
        <v>500328</v>
      </c>
      <c r="D82" s="29"/>
      <c r="E82" s="26"/>
      <c r="F82" s="28"/>
      <c r="G82" s="29"/>
      <c r="H82" s="29"/>
      <c r="I82" s="29"/>
    </row>
    <row r="83" spans="1:9">
      <c r="A83">
        <v>2022</v>
      </c>
      <c r="B83" s="10" t="s">
        <v>318</v>
      </c>
      <c r="C83" s="23">
        <v>1515327</v>
      </c>
      <c r="D83" s="29"/>
      <c r="E83" s="26"/>
      <c r="F83" s="28"/>
      <c r="G83" s="29"/>
      <c r="H83" s="29"/>
      <c r="I83" s="29"/>
    </row>
    <row r="84" spans="1:9">
      <c r="A84">
        <v>2022</v>
      </c>
      <c r="B84" s="10" t="s">
        <v>265</v>
      </c>
      <c r="C84" s="10">
        <v>0</v>
      </c>
      <c r="D84" s="26"/>
      <c r="E84" s="26"/>
      <c r="F84" s="28"/>
      <c r="G84" s="26"/>
      <c r="H84" s="29"/>
      <c r="I84" s="29"/>
    </row>
    <row r="85" spans="1:9">
      <c r="A85">
        <v>2022</v>
      </c>
      <c r="B85" s="10" t="s">
        <v>319</v>
      </c>
      <c r="C85" s="23">
        <v>1833551</v>
      </c>
      <c r="D85" s="29"/>
      <c r="E85" s="26"/>
      <c r="F85" s="28"/>
      <c r="G85" s="29"/>
      <c r="H85" s="29"/>
      <c r="I85" s="29"/>
    </row>
    <row r="86" spans="1:9">
      <c r="A86">
        <v>2022</v>
      </c>
      <c r="B86" s="10" t="s">
        <v>68</v>
      </c>
      <c r="C86" s="10">
        <v>0</v>
      </c>
      <c r="D86" s="26"/>
      <c r="E86" s="26"/>
      <c r="F86" s="28"/>
      <c r="G86" s="26"/>
      <c r="H86" s="29"/>
      <c r="I86" s="29"/>
    </row>
    <row r="87" spans="1:9">
      <c r="A87">
        <v>2022</v>
      </c>
      <c r="B87" s="10" t="s">
        <v>69</v>
      </c>
      <c r="C87" s="23">
        <v>218379</v>
      </c>
      <c r="D87" s="29"/>
      <c r="E87" s="26"/>
      <c r="F87" s="28"/>
      <c r="G87" s="29"/>
      <c r="H87" s="29"/>
      <c r="I87" s="29"/>
    </row>
    <row r="88" spans="1:9">
      <c r="A88">
        <v>2022</v>
      </c>
      <c r="B88" s="10" t="s">
        <v>289</v>
      </c>
      <c r="C88" s="23">
        <v>631515</v>
      </c>
      <c r="D88" s="29"/>
      <c r="E88" s="26"/>
      <c r="F88" s="28"/>
      <c r="G88" s="29"/>
      <c r="H88" s="29"/>
      <c r="I88" s="29"/>
    </row>
    <row r="89" spans="1:9">
      <c r="A89">
        <v>2022</v>
      </c>
      <c r="B89" s="10" t="s">
        <v>70</v>
      </c>
      <c r="C89" s="10">
        <v>0</v>
      </c>
      <c r="D89" s="26"/>
      <c r="E89" s="26"/>
      <c r="F89" s="28"/>
      <c r="G89" s="26"/>
      <c r="H89" s="29"/>
      <c r="I89" s="29"/>
    </row>
    <row r="90" spans="1:9">
      <c r="A90">
        <v>2022</v>
      </c>
      <c r="B90" s="10" t="s">
        <v>71</v>
      </c>
      <c r="C90" s="23">
        <v>6715681</v>
      </c>
      <c r="D90" s="29"/>
      <c r="E90" s="26"/>
      <c r="F90" s="28"/>
      <c r="G90" s="29"/>
      <c r="H90" s="29"/>
      <c r="I90" s="29"/>
    </row>
    <row r="91" spans="1:9">
      <c r="A91">
        <v>2022</v>
      </c>
      <c r="B91" s="10" t="s">
        <v>72</v>
      </c>
      <c r="C91" s="23">
        <v>866472</v>
      </c>
      <c r="D91" s="29"/>
      <c r="E91" s="26"/>
      <c r="F91" s="28"/>
      <c r="G91" s="29"/>
      <c r="H91" s="29"/>
      <c r="I91" s="29"/>
    </row>
    <row r="92" spans="1:9">
      <c r="A92">
        <v>2022</v>
      </c>
      <c r="B92" s="10" t="s">
        <v>310</v>
      </c>
      <c r="C92" s="23">
        <v>7094865</v>
      </c>
      <c r="D92" s="29"/>
      <c r="E92" s="26"/>
      <c r="F92" s="28"/>
      <c r="G92" s="29"/>
      <c r="H92" s="29"/>
      <c r="I92" s="29"/>
    </row>
    <row r="93" spans="1:9">
      <c r="A93">
        <v>2022</v>
      </c>
      <c r="B93" s="10" t="s">
        <v>239</v>
      </c>
      <c r="C93" s="10">
        <v>0</v>
      </c>
      <c r="D93" s="26"/>
      <c r="E93" s="26"/>
      <c r="F93" s="28"/>
      <c r="G93" s="26"/>
      <c r="H93" s="29"/>
      <c r="I93" s="29"/>
    </row>
    <row r="94" spans="1:9">
      <c r="A94">
        <v>2022</v>
      </c>
      <c r="B94" s="10" t="s">
        <v>262</v>
      </c>
      <c r="C94" s="23">
        <v>873836</v>
      </c>
      <c r="D94" s="29"/>
      <c r="E94" s="26"/>
      <c r="F94" s="28"/>
      <c r="G94" s="29"/>
      <c r="H94" s="29"/>
      <c r="I94" s="29"/>
    </row>
    <row r="95" spans="1:9">
      <c r="A95">
        <v>2022</v>
      </c>
      <c r="B95" s="10" t="s">
        <v>73</v>
      </c>
      <c r="C95" s="25">
        <v>0</v>
      </c>
      <c r="D95" s="27"/>
      <c r="E95" s="27"/>
      <c r="F95" s="28"/>
      <c r="G95" s="27"/>
      <c r="H95" s="27"/>
      <c r="I95" s="27"/>
    </row>
    <row r="96" spans="1:9">
      <c r="A96">
        <v>2022</v>
      </c>
      <c r="B96" s="10" t="s">
        <v>75</v>
      </c>
      <c r="C96" s="10">
        <v>0</v>
      </c>
      <c r="D96" s="26"/>
      <c r="E96" s="26"/>
      <c r="F96" s="28"/>
      <c r="G96" s="26"/>
      <c r="H96" s="29"/>
      <c r="I96" s="29"/>
    </row>
    <row r="97" spans="1:9">
      <c r="A97">
        <v>2022</v>
      </c>
      <c r="B97" s="10" t="s">
        <v>76</v>
      </c>
      <c r="C97" s="10">
        <v>0</v>
      </c>
      <c r="D97" s="26"/>
      <c r="E97" s="26"/>
      <c r="F97" s="28"/>
      <c r="G97" s="26"/>
      <c r="H97" s="29"/>
      <c r="I97" s="29"/>
    </row>
    <row r="98" spans="1:9">
      <c r="A98">
        <v>2022</v>
      </c>
      <c r="B98" s="10" t="s">
        <v>78</v>
      </c>
      <c r="C98" s="10">
        <v>0</v>
      </c>
      <c r="D98" s="26"/>
      <c r="E98" s="26"/>
      <c r="F98" s="28"/>
      <c r="G98" s="26"/>
      <c r="H98" s="29"/>
      <c r="I98" s="29"/>
    </row>
    <row r="99" spans="1:9">
      <c r="A99">
        <v>2022</v>
      </c>
      <c r="B99" s="10" t="s">
        <v>79</v>
      </c>
      <c r="C99" s="10">
        <v>0</v>
      </c>
      <c r="D99" s="26"/>
      <c r="E99" s="26"/>
      <c r="F99" s="28"/>
      <c r="G99" s="26"/>
      <c r="H99" s="29"/>
      <c r="I99" s="29"/>
    </row>
    <row r="100" spans="1:9">
      <c r="A100">
        <v>2022</v>
      </c>
      <c r="B100" s="10" t="s">
        <v>80</v>
      </c>
      <c r="C100" s="10">
        <v>0</v>
      </c>
      <c r="D100" s="26"/>
      <c r="E100" s="26"/>
      <c r="F100" s="28"/>
      <c r="G100" s="26"/>
      <c r="H100" s="29"/>
      <c r="I100" s="29"/>
    </row>
    <row r="101" spans="1:9">
      <c r="A101">
        <v>2022</v>
      </c>
      <c r="B101" s="10" t="s">
        <v>81</v>
      </c>
      <c r="C101" s="23">
        <v>268134</v>
      </c>
      <c r="D101" s="29"/>
      <c r="E101" s="26"/>
      <c r="F101" s="28"/>
      <c r="G101" s="29"/>
      <c r="H101" s="29"/>
      <c r="I101" s="29"/>
    </row>
    <row r="102" spans="1:9">
      <c r="A102">
        <v>2022</v>
      </c>
      <c r="B102" s="10" t="s">
        <v>320</v>
      </c>
      <c r="C102" s="23">
        <v>4700685</v>
      </c>
      <c r="D102" s="29"/>
      <c r="E102" s="26"/>
      <c r="F102" s="28"/>
      <c r="G102" s="29"/>
      <c r="H102" s="29"/>
      <c r="I102" s="29"/>
    </row>
    <row r="103" spans="1:9">
      <c r="A103">
        <v>2022</v>
      </c>
      <c r="B103" s="10" t="s">
        <v>246</v>
      </c>
      <c r="C103" s="23">
        <v>1074215</v>
      </c>
      <c r="D103" s="29"/>
      <c r="E103" s="26"/>
      <c r="F103" s="28"/>
      <c r="G103" s="29"/>
      <c r="H103" s="29"/>
      <c r="I103" s="29"/>
    </row>
    <row r="104" spans="1:9">
      <c r="A104">
        <v>2022</v>
      </c>
      <c r="B104" s="10" t="s">
        <v>339</v>
      </c>
      <c r="C104" s="23">
        <v>1967030</v>
      </c>
      <c r="D104" s="29"/>
      <c r="E104" s="26"/>
      <c r="F104" s="28"/>
      <c r="G104" s="29"/>
      <c r="H104" s="29"/>
      <c r="I104" s="29"/>
    </row>
    <row r="105" spans="1:9">
      <c r="A105">
        <v>2022</v>
      </c>
      <c r="B105" s="10" t="s">
        <v>66</v>
      </c>
      <c r="C105" s="10">
        <v>0</v>
      </c>
      <c r="D105" s="26"/>
      <c r="E105" s="26"/>
      <c r="F105" s="28"/>
      <c r="G105" s="26"/>
      <c r="H105" s="29"/>
      <c r="I105" s="29"/>
    </row>
    <row r="106" spans="1:9">
      <c r="A106">
        <v>2022</v>
      </c>
      <c r="B106" s="10" t="s">
        <v>311</v>
      </c>
      <c r="C106" s="23">
        <v>4278936</v>
      </c>
      <c r="D106" s="29"/>
      <c r="E106" s="26"/>
      <c r="F106" s="28"/>
      <c r="G106" s="29"/>
      <c r="H106" s="29"/>
      <c r="I106" s="29"/>
    </row>
    <row r="107" spans="1:9">
      <c r="A107">
        <v>2022</v>
      </c>
      <c r="B107" s="10" t="s">
        <v>255</v>
      </c>
      <c r="C107" s="23">
        <v>1001868</v>
      </c>
      <c r="D107" s="29"/>
      <c r="E107" s="26"/>
      <c r="F107" s="28"/>
      <c r="G107" s="29"/>
      <c r="H107" s="29"/>
      <c r="I107" s="29"/>
    </row>
    <row r="108" spans="1:9">
      <c r="A108">
        <v>2022</v>
      </c>
      <c r="B108" s="10" t="s">
        <v>243</v>
      </c>
      <c r="C108" s="10">
        <v>0</v>
      </c>
      <c r="D108" s="26"/>
      <c r="E108" s="26"/>
      <c r="F108" s="28"/>
      <c r="G108" s="26"/>
      <c r="H108" s="29"/>
      <c r="I108" s="29"/>
    </row>
    <row r="109" spans="1:9">
      <c r="A109">
        <v>2022</v>
      </c>
      <c r="B109" s="10" t="s">
        <v>340</v>
      </c>
      <c r="C109" s="23">
        <v>5751976</v>
      </c>
      <c r="D109" s="29"/>
      <c r="E109" s="26"/>
      <c r="F109" s="28"/>
      <c r="G109" s="29"/>
      <c r="H109" s="29"/>
      <c r="I109" s="29"/>
    </row>
    <row r="110" spans="1:9">
      <c r="A110">
        <v>2022</v>
      </c>
      <c r="B110" s="10" t="s">
        <v>261</v>
      </c>
      <c r="C110" s="10">
        <v>0</v>
      </c>
      <c r="D110" s="26"/>
      <c r="E110" s="26"/>
      <c r="F110" s="28"/>
      <c r="G110" s="26"/>
      <c r="H110" s="29"/>
      <c r="I110" s="29"/>
    </row>
    <row r="111" spans="1:9">
      <c r="A111">
        <v>2022</v>
      </c>
      <c r="B111" s="10" t="s">
        <v>85</v>
      </c>
      <c r="C111" s="10">
        <v>0</v>
      </c>
      <c r="D111" s="26"/>
      <c r="E111" s="26"/>
      <c r="F111" s="28"/>
      <c r="G111" s="26"/>
      <c r="H111" s="29"/>
      <c r="I111" s="29"/>
    </row>
    <row r="112" spans="1:9">
      <c r="A112">
        <v>2022</v>
      </c>
      <c r="B112" s="10" t="s">
        <v>86</v>
      </c>
      <c r="C112" s="23">
        <v>285955</v>
      </c>
      <c r="D112" s="29"/>
      <c r="E112" s="26"/>
      <c r="F112" s="28"/>
      <c r="G112" s="29"/>
      <c r="H112" s="29"/>
      <c r="I112" s="29"/>
    </row>
    <row r="113" spans="1:9">
      <c r="A113">
        <v>2022</v>
      </c>
      <c r="B113" s="10" t="s">
        <v>321</v>
      </c>
      <c r="C113" s="23">
        <v>641989</v>
      </c>
      <c r="D113" s="29"/>
      <c r="E113" s="26"/>
      <c r="F113" s="28"/>
      <c r="G113" s="29"/>
      <c r="H113" s="29"/>
      <c r="I113" s="29"/>
    </row>
    <row r="114" spans="1:9">
      <c r="A114">
        <v>2022</v>
      </c>
      <c r="B114" s="10" t="s">
        <v>87</v>
      </c>
      <c r="C114" s="10">
        <v>0</v>
      </c>
      <c r="D114" s="26"/>
      <c r="E114" s="26"/>
      <c r="F114" s="28"/>
      <c r="G114" s="26"/>
      <c r="H114" s="29"/>
      <c r="I114" s="29"/>
    </row>
    <row r="115" spans="1:9">
      <c r="A115">
        <v>2022</v>
      </c>
      <c r="B115" s="10" t="s">
        <v>88</v>
      </c>
      <c r="C115" s="10">
        <v>0</v>
      </c>
      <c r="D115" s="26"/>
      <c r="E115" s="26"/>
      <c r="F115" s="28"/>
      <c r="G115" s="26"/>
      <c r="H115" s="29"/>
      <c r="I115" s="29"/>
    </row>
    <row r="116" spans="1:9">
      <c r="A116">
        <v>2022</v>
      </c>
      <c r="B116" s="10" t="s">
        <v>198</v>
      </c>
      <c r="C116" s="23">
        <v>1022970</v>
      </c>
      <c r="D116" s="29"/>
      <c r="E116" s="26"/>
      <c r="F116" s="28"/>
      <c r="G116" s="29"/>
      <c r="H116" s="29"/>
      <c r="I116" s="29"/>
    </row>
    <row r="117" spans="1:9">
      <c r="A117">
        <v>2022</v>
      </c>
      <c r="B117" s="10" t="s">
        <v>89</v>
      </c>
      <c r="C117" s="10">
        <v>0</v>
      </c>
      <c r="D117" s="26"/>
      <c r="E117" s="26"/>
      <c r="F117" s="28"/>
      <c r="G117" s="26"/>
      <c r="H117" s="29"/>
      <c r="I117" s="29"/>
    </row>
    <row r="118" spans="1:9">
      <c r="A118">
        <v>2022</v>
      </c>
      <c r="B118" s="10" t="s">
        <v>90</v>
      </c>
      <c r="C118" s="10">
        <v>0</v>
      </c>
      <c r="D118" s="26"/>
      <c r="E118" s="26"/>
      <c r="F118" s="28"/>
      <c r="G118" s="26"/>
      <c r="H118" s="29"/>
      <c r="I118" s="29"/>
    </row>
    <row r="119" spans="1:9">
      <c r="A119">
        <v>2022</v>
      </c>
      <c r="B119" s="10" t="s">
        <v>312</v>
      </c>
      <c r="C119" s="23">
        <v>10271675</v>
      </c>
      <c r="D119" s="29"/>
      <c r="E119" s="26"/>
      <c r="F119" s="28"/>
      <c r="G119" s="29"/>
      <c r="H119" s="29"/>
      <c r="I119" s="29"/>
    </row>
    <row r="120" spans="1:9">
      <c r="A120">
        <v>2022</v>
      </c>
      <c r="B120" s="10" t="s">
        <v>91</v>
      </c>
      <c r="C120" s="23">
        <v>311507</v>
      </c>
      <c r="D120" s="29"/>
      <c r="E120" s="26"/>
      <c r="F120" s="28"/>
      <c r="G120" s="29"/>
      <c r="H120" s="29"/>
      <c r="I120" s="29"/>
    </row>
    <row r="121" spans="1:9">
      <c r="A121">
        <v>2022</v>
      </c>
      <c r="B121" s="10" t="s">
        <v>322</v>
      </c>
      <c r="C121" s="23">
        <v>433998</v>
      </c>
      <c r="D121" s="29"/>
      <c r="E121" s="26"/>
      <c r="F121" s="28"/>
      <c r="G121" s="29"/>
      <c r="H121" s="29"/>
      <c r="I121" s="29"/>
    </row>
    <row r="122" spans="1:9">
      <c r="A122">
        <v>2022</v>
      </c>
      <c r="B122" s="10" t="s">
        <v>93</v>
      </c>
      <c r="C122" s="10">
        <v>0</v>
      </c>
      <c r="D122" s="26"/>
      <c r="E122" s="26"/>
      <c r="F122" s="28"/>
      <c r="G122" s="26"/>
      <c r="H122" s="29"/>
      <c r="I122" s="29"/>
    </row>
    <row r="123" spans="1:9">
      <c r="A123">
        <v>2022</v>
      </c>
      <c r="B123" s="10" t="s">
        <v>94</v>
      </c>
      <c r="C123" s="10">
        <v>0</v>
      </c>
      <c r="D123" s="26"/>
      <c r="E123" s="26"/>
      <c r="F123" s="28"/>
      <c r="G123" s="26"/>
      <c r="H123" s="29"/>
      <c r="I123" s="29"/>
    </row>
    <row r="124" spans="1:9">
      <c r="A124">
        <v>2022</v>
      </c>
      <c r="B124" s="10" t="s">
        <v>303</v>
      </c>
      <c r="C124" s="23">
        <v>3221087</v>
      </c>
      <c r="D124" s="29"/>
      <c r="E124" s="26"/>
      <c r="F124" s="28"/>
      <c r="G124" s="29"/>
      <c r="H124" s="29"/>
      <c r="I124" s="29"/>
    </row>
    <row r="125" spans="1:9">
      <c r="A125">
        <v>2022</v>
      </c>
      <c r="B125" s="10" t="s">
        <v>95</v>
      </c>
      <c r="C125" s="23">
        <v>5549295</v>
      </c>
      <c r="D125" s="29"/>
      <c r="E125" s="26"/>
      <c r="F125" s="28"/>
      <c r="G125" s="29"/>
      <c r="H125" s="29"/>
      <c r="I125" s="29"/>
    </row>
    <row r="126" spans="1:9">
      <c r="A126">
        <v>2022</v>
      </c>
      <c r="B126" s="10" t="s">
        <v>341</v>
      </c>
      <c r="C126" s="23">
        <v>6142519</v>
      </c>
      <c r="D126" s="29"/>
      <c r="E126" s="26"/>
      <c r="F126" s="28"/>
      <c r="G126" s="29"/>
      <c r="H126" s="29"/>
      <c r="I126" s="29"/>
    </row>
    <row r="127" spans="1:9">
      <c r="A127">
        <v>2022</v>
      </c>
      <c r="B127" s="10" t="s">
        <v>263</v>
      </c>
      <c r="C127" s="10">
        <v>0</v>
      </c>
      <c r="D127" s="26"/>
      <c r="E127" s="26"/>
      <c r="F127" s="28"/>
      <c r="G127" s="26"/>
      <c r="H127" s="29"/>
      <c r="I127" s="29"/>
    </row>
    <row r="128" spans="1:9">
      <c r="A128">
        <v>2022</v>
      </c>
      <c r="B128" s="10" t="s">
        <v>96</v>
      </c>
      <c r="C128" s="25">
        <v>0</v>
      </c>
      <c r="D128" s="27"/>
      <c r="E128" s="27"/>
      <c r="F128" s="28"/>
      <c r="G128" s="27"/>
      <c r="H128" s="27"/>
      <c r="I128" s="27"/>
    </row>
    <row r="129" spans="1:9">
      <c r="A129">
        <v>2022</v>
      </c>
      <c r="B129" s="10" t="s">
        <v>97</v>
      </c>
      <c r="C129" s="10">
        <v>0</v>
      </c>
      <c r="D129" s="26"/>
      <c r="E129" s="26"/>
      <c r="F129" s="28"/>
      <c r="G129" s="26"/>
      <c r="H129" s="29"/>
      <c r="I129" s="29"/>
    </row>
    <row r="130" spans="1:9">
      <c r="A130">
        <v>2022</v>
      </c>
      <c r="B130" s="10" t="s">
        <v>323</v>
      </c>
      <c r="C130" s="23">
        <v>4222328</v>
      </c>
      <c r="D130" s="29"/>
      <c r="E130" s="26"/>
      <c r="F130" s="28"/>
      <c r="G130" s="29"/>
      <c r="H130" s="29"/>
      <c r="I130" s="29"/>
    </row>
    <row r="131" spans="1:9">
      <c r="A131">
        <v>2022</v>
      </c>
      <c r="B131" s="10" t="s">
        <v>98</v>
      </c>
      <c r="C131" s="10">
        <v>0</v>
      </c>
      <c r="D131" s="26"/>
      <c r="E131" s="26"/>
      <c r="F131" s="28"/>
      <c r="G131" s="26"/>
      <c r="H131" s="29"/>
      <c r="I131" s="29"/>
    </row>
    <row r="132" spans="1:9">
      <c r="A132">
        <v>2022</v>
      </c>
      <c r="B132" s="10" t="s">
        <v>342</v>
      </c>
      <c r="C132" s="23">
        <v>1672988</v>
      </c>
      <c r="D132" s="29"/>
      <c r="E132" s="26"/>
      <c r="F132" s="28"/>
      <c r="G132" s="29"/>
      <c r="H132" s="29"/>
      <c r="I132" s="29"/>
    </row>
    <row r="133" spans="1:9">
      <c r="A133">
        <v>2022</v>
      </c>
      <c r="B133" s="10" t="s">
        <v>291</v>
      </c>
      <c r="C133" s="10">
        <v>0</v>
      </c>
      <c r="D133" s="26"/>
      <c r="E133" s="26"/>
      <c r="F133" s="28"/>
      <c r="G133" s="26"/>
      <c r="H133" s="29"/>
      <c r="I133" s="29"/>
    </row>
    <row r="134" spans="1:9">
      <c r="A134">
        <v>2022</v>
      </c>
      <c r="B134" s="10" t="s">
        <v>324</v>
      </c>
      <c r="C134" s="23">
        <v>5084418</v>
      </c>
      <c r="D134" s="29"/>
      <c r="E134" s="26"/>
      <c r="F134" s="28"/>
      <c r="G134" s="29"/>
      <c r="H134" s="29"/>
      <c r="I134" s="29"/>
    </row>
    <row r="135" spans="1:9">
      <c r="A135">
        <v>2022</v>
      </c>
      <c r="B135" s="10" t="s">
        <v>258</v>
      </c>
      <c r="C135" s="10">
        <v>0</v>
      </c>
      <c r="D135" s="26"/>
      <c r="E135" s="26"/>
      <c r="F135" s="28"/>
      <c r="G135" s="26"/>
      <c r="H135" s="29"/>
      <c r="I135" s="29"/>
    </row>
    <row r="136" spans="1:9">
      <c r="A136">
        <v>2022</v>
      </c>
      <c r="B136" s="10" t="s">
        <v>227</v>
      </c>
      <c r="C136" s="23">
        <v>3339643</v>
      </c>
      <c r="D136" s="29"/>
      <c r="E136" s="26"/>
      <c r="F136" s="28"/>
      <c r="G136" s="29"/>
      <c r="H136" s="29"/>
      <c r="I136" s="29"/>
    </row>
    <row r="137" spans="1:9">
      <c r="A137">
        <v>2022</v>
      </c>
      <c r="B137" s="10" t="s">
        <v>101</v>
      </c>
      <c r="C137" s="10">
        <v>0</v>
      </c>
      <c r="D137" s="26"/>
      <c r="E137" s="26"/>
      <c r="F137" s="28"/>
      <c r="G137" s="26"/>
      <c r="H137" s="29"/>
      <c r="I137" s="29"/>
    </row>
    <row r="138" spans="1:9">
      <c r="A138">
        <v>2022</v>
      </c>
      <c r="B138" s="10" t="s">
        <v>343</v>
      </c>
      <c r="C138" s="23">
        <v>8697921</v>
      </c>
      <c r="D138" s="29"/>
      <c r="E138" s="26"/>
      <c r="F138" s="28"/>
      <c r="G138" s="29"/>
      <c r="H138" s="29"/>
      <c r="I138" s="29"/>
    </row>
    <row r="139" spans="1:9">
      <c r="A139">
        <v>2022</v>
      </c>
      <c r="B139" s="10" t="s">
        <v>102</v>
      </c>
      <c r="C139" s="10">
        <v>0</v>
      </c>
      <c r="D139" s="26"/>
      <c r="E139" s="26"/>
      <c r="F139" s="28"/>
      <c r="G139" s="26"/>
      <c r="H139" s="29"/>
      <c r="I139" s="29"/>
    </row>
    <row r="140" spans="1:9">
      <c r="A140">
        <v>2022</v>
      </c>
      <c r="B140" s="10" t="s">
        <v>103</v>
      </c>
      <c r="C140" s="10">
        <v>0</v>
      </c>
      <c r="D140" s="26"/>
      <c r="E140" s="26"/>
      <c r="F140" s="28"/>
      <c r="G140" s="26"/>
      <c r="H140" s="29"/>
      <c r="I140" s="29"/>
    </row>
    <row r="141" spans="1:9">
      <c r="A141">
        <v>2022</v>
      </c>
      <c r="B141" s="10" t="s">
        <v>105</v>
      </c>
      <c r="C141" s="10">
        <v>0</v>
      </c>
      <c r="D141" s="26"/>
      <c r="E141" s="26"/>
      <c r="F141" s="28"/>
      <c r="G141" s="26"/>
      <c r="H141" s="29"/>
      <c r="I141" s="29"/>
    </row>
    <row r="142" spans="1:9">
      <c r="A142">
        <v>2022</v>
      </c>
      <c r="B142" s="10" t="s">
        <v>104</v>
      </c>
      <c r="C142" s="10">
        <v>0</v>
      </c>
      <c r="D142" s="26"/>
      <c r="E142" s="26"/>
      <c r="F142" s="28"/>
      <c r="G142" s="26"/>
      <c r="H142" s="29"/>
      <c r="I142" s="29"/>
    </row>
    <row r="143" spans="1:9">
      <c r="A143">
        <v>2022</v>
      </c>
      <c r="B143" s="10" t="s">
        <v>106</v>
      </c>
      <c r="C143" s="23">
        <v>956561</v>
      </c>
      <c r="D143" s="29"/>
      <c r="E143" s="26"/>
      <c r="F143" s="28"/>
      <c r="G143" s="29"/>
      <c r="H143" s="29"/>
      <c r="I143" s="29"/>
    </row>
    <row r="144" spans="1:9">
      <c r="A144">
        <v>2022</v>
      </c>
      <c r="B144" s="10" t="s">
        <v>107</v>
      </c>
      <c r="C144" s="23">
        <v>302881</v>
      </c>
      <c r="D144" s="29"/>
      <c r="E144" s="26"/>
      <c r="F144" s="28"/>
      <c r="G144" s="29"/>
      <c r="H144" s="29"/>
      <c r="I144" s="29"/>
    </row>
    <row r="145" spans="1:9">
      <c r="A145">
        <v>2022</v>
      </c>
      <c r="B145" s="10" t="s">
        <v>226</v>
      </c>
      <c r="C145" s="23">
        <v>2995118</v>
      </c>
      <c r="D145" s="29"/>
      <c r="E145" s="26"/>
      <c r="F145" s="28"/>
      <c r="G145" s="29"/>
      <c r="H145" s="29"/>
      <c r="I145" s="29"/>
    </row>
    <row r="146" spans="1:9">
      <c r="A146">
        <v>2022</v>
      </c>
      <c r="B146" s="10" t="s">
        <v>109</v>
      </c>
      <c r="C146" s="10">
        <v>0</v>
      </c>
      <c r="D146" s="26"/>
      <c r="E146" s="26"/>
      <c r="F146" s="28"/>
      <c r="G146" s="26"/>
      <c r="H146" s="29"/>
      <c r="I146" s="29"/>
    </row>
    <row r="147" spans="1:9">
      <c r="A147">
        <v>2022</v>
      </c>
      <c r="B147" s="10" t="s">
        <v>344</v>
      </c>
      <c r="C147" s="23">
        <v>1779591</v>
      </c>
      <c r="D147" s="29"/>
      <c r="E147" s="26"/>
      <c r="F147" s="28"/>
      <c r="G147" s="29"/>
      <c r="H147" s="29"/>
      <c r="I147" s="29"/>
    </row>
    <row r="148" spans="1:9">
      <c r="A148">
        <v>2022</v>
      </c>
      <c r="B148" s="10" t="s">
        <v>110</v>
      </c>
      <c r="C148" s="10">
        <v>0</v>
      </c>
      <c r="D148" s="26"/>
      <c r="E148" s="26"/>
      <c r="F148" s="28"/>
      <c r="G148" s="26"/>
      <c r="H148" s="29"/>
      <c r="I148" s="29"/>
    </row>
    <row r="149" spans="1:9">
      <c r="A149">
        <v>2022</v>
      </c>
      <c r="B149" s="10" t="s">
        <v>111</v>
      </c>
      <c r="C149" s="23">
        <v>1247910</v>
      </c>
      <c r="D149" s="29"/>
      <c r="E149" s="26"/>
      <c r="F149" s="28"/>
      <c r="G149" s="29"/>
      <c r="H149" s="29"/>
      <c r="I149" s="29"/>
    </row>
    <row r="150" spans="1:9">
      <c r="A150">
        <v>2022</v>
      </c>
      <c r="B150" s="10" t="s">
        <v>249</v>
      </c>
      <c r="C150" s="23">
        <v>1393261</v>
      </c>
      <c r="D150" s="29"/>
      <c r="E150" s="26"/>
      <c r="F150" s="28"/>
      <c r="G150" s="29"/>
      <c r="H150" s="29"/>
      <c r="I150" s="29"/>
    </row>
    <row r="151" spans="1:9">
      <c r="A151">
        <v>2022</v>
      </c>
      <c r="B151" s="10" t="s">
        <v>281</v>
      </c>
      <c r="C151" s="10">
        <v>0</v>
      </c>
      <c r="D151" s="26"/>
      <c r="E151" s="26"/>
      <c r="F151" s="28"/>
      <c r="G151" s="26"/>
      <c r="H151" s="29"/>
      <c r="I151" s="29"/>
    </row>
    <row r="152" spans="1:9">
      <c r="A152">
        <v>2022</v>
      </c>
      <c r="B152" s="10" t="s">
        <v>112</v>
      </c>
      <c r="C152" s="10">
        <v>0</v>
      </c>
      <c r="D152" s="26"/>
      <c r="E152" s="26"/>
      <c r="F152" s="28"/>
      <c r="G152" s="26"/>
      <c r="H152" s="29"/>
      <c r="I152" s="29"/>
    </row>
    <row r="153" spans="1:9">
      <c r="A153">
        <v>2022</v>
      </c>
      <c r="B153" s="10" t="s">
        <v>313</v>
      </c>
      <c r="C153" s="23">
        <v>3756383</v>
      </c>
      <c r="D153" s="29"/>
      <c r="E153" s="26"/>
      <c r="F153" s="28"/>
      <c r="G153" s="29"/>
      <c r="H153" s="29"/>
      <c r="I153" s="29"/>
    </row>
    <row r="154" spans="1:9">
      <c r="A154">
        <v>2022</v>
      </c>
      <c r="B154" s="10" t="s">
        <v>217</v>
      </c>
      <c r="C154" s="23">
        <v>780107</v>
      </c>
      <c r="D154" s="29"/>
      <c r="E154" s="26"/>
      <c r="F154" s="28"/>
      <c r="G154" s="29"/>
      <c r="H154" s="29"/>
      <c r="I154" s="29"/>
    </row>
    <row r="155" spans="1:9">
      <c r="A155">
        <v>2022</v>
      </c>
      <c r="B155" s="10" t="s">
        <v>259</v>
      </c>
      <c r="C155" s="23">
        <v>2270064</v>
      </c>
      <c r="D155" s="29"/>
      <c r="E155" s="26"/>
      <c r="F155" s="28"/>
      <c r="G155" s="29"/>
      <c r="H155" s="29"/>
      <c r="I155" s="29"/>
    </row>
    <row r="156" spans="1:9">
      <c r="A156">
        <v>2022</v>
      </c>
      <c r="B156" s="10" t="s">
        <v>113</v>
      </c>
      <c r="C156" s="10">
        <v>0</v>
      </c>
      <c r="D156" s="26"/>
      <c r="E156" s="26"/>
      <c r="F156" s="28"/>
      <c r="G156" s="26"/>
      <c r="H156" s="29"/>
      <c r="I156" s="29"/>
    </row>
    <row r="157" spans="1:9">
      <c r="A157">
        <v>2022</v>
      </c>
      <c r="B157" s="10" t="s">
        <v>254</v>
      </c>
      <c r="C157" s="23">
        <v>1185934</v>
      </c>
      <c r="D157" s="29"/>
      <c r="E157" s="26"/>
      <c r="F157" s="28"/>
      <c r="G157" s="29"/>
      <c r="H157" s="29"/>
      <c r="I157" s="29"/>
    </row>
    <row r="158" spans="1:9">
      <c r="A158">
        <v>2022</v>
      </c>
      <c r="B158" s="10" t="s">
        <v>345</v>
      </c>
      <c r="C158" s="23">
        <v>841306</v>
      </c>
      <c r="D158" s="29"/>
      <c r="E158" s="26"/>
      <c r="F158" s="28"/>
      <c r="G158" s="29"/>
      <c r="H158" s="29"/>
      <c r="I158" s="29"/>
    </row>
    <row r="159" spans="1:9">
      <c r="A159">
        <v>2022</v>
      </c>
      <c r="B159" s="10" t="s">
        <v>114</v>
      </c>
      <c r="C159" s="10">
        <v>0</v>
      </c>
      <c r="D159" s="26"/>
      <c r="E159" s="26"/>
      <c r="F159" s="28"/>
      <c r="G159" s="26"/>
      <c r="H159" s="29"/>
      <c r="I159" s="29"/>
    </row>
    <row r="160" spans="1:9">
      <c r="A160">
        <v>2022</v>
      </c>
      <c r="B160" s="10" t="s">
        <v>304</v>
      </c>
      <c r="C160" s="25">
        <v>3041136</v>
      </c>
      <c r="D160" s="27"/>
      <c r="E160" s="27"/>
      <c r="F160" s="28"/>
      <c r="G160" s="27"/>
      <c r="H160" s="27"/>
      <c r="I160" s="27"/>
    </row>
    <row r="161" spans="1:9">
      <c r="A161">
        <v>2022</v>
      </c>
      <c r="B161" s="10" t="s">
        <v>271</v>
      </c>
      <c r="C161" s="10">
        <v>0</v>
      </c>
      <c r="D161" s="26"/>
      <c r="E161" s="26"/>
      <c r="F161" s="28"/>
      <c r="G161" s="26"/>
      <c r="H161" s="29"/>
      <c r="I161" s="29"/>
    </row>
    <row r="162" spans="1:9">
      <c r="A162">
        <v>2022</v>
      </c>
      <c r="B162" s="10" t="s">
        <v>346</v>
      </c>
      <c r="C162" s="23">
        <v>2302230</v>
      </c>
      <c r="D162" s="29"/>
      <c r="E162" s="26"/>
      <c r="F162" s="28"/>
      <c r="G162" s="29"/>
      <c r="H162" s="29"/>
      <c r="I162" s="29"/>
    </row>
    <row r="163" spans="1:9">
      <c r="A163">
        <v>2022</v>
      </c>
      <c r="B163" s="10" t="s">
        <v>326</v>
      </c>
      <c r="C163" s="23">
        <v>2459763</v>
      </c>
      <c r="D163" s="29"/>
      <c r="E163" s="26"/>
      <c r="F163" s="28"/>
      <c r="G163" s="29"/>
      <c r="H163" s="29"/>
      <c r="I163" s="29"/>
    </row>
    <row r="164" spans="1:9">
      <c r="A164">
        <v>2022</v>
      </c>
      <c r="B164" s="10" t="s">
        <v>116</v>
      </c>
      <c r="C164" s="23">
        <v>223693</v>
      </c>
      <c r="D164" s="29"/>
      <c r="E164" s="26"/>
      <c r="F164" s="28"/>
      <c r="G164" s="29"/>
      <c r="H164" s="29"/>
      <c r="I164" s="29"/>
    </row>
    <row r="165" spans="1:9">
      <c r="A165">
        <v>2022</v>
      </c>
      <c r="B165" s="10" t="s">
        <v>119</v>
      </c>
      <c r="C165" s="10">
        <v>0</v>
      </c>
      <c r="D165" s="26"/>
      <c r="E165" s="26"/>
      <c r="F165" s="28"/>
      <c r="G165" s="26"/>
      <c r="H165" s="29"/>
      <c r="I165" s="29"/>
    </row>
    <row r="166" spans="1:9">
      <c r="A166">
        <v>2022</v>
      </c>
      <c r="B166" s="10" t="s">
        <v>120</v>
      </c>
      <c r="C166" s="10">
        <v>0</v>
      </c>
      <c r="D166" s="26"/>
      <c r="E166" s="26"/>
      <c r="F166" s="28"/>
      <c r="G166" s="26"/>
      <c r="H166" s="29"/>
      <c r="I166" s="29"/>
    </row>
    <row r="167" spans="1:9">
      <c r="A167">
        <v>2022</v>
      </c>
      <c r="B167" s="10" t="s">
        <v>121</v>
      </c>
      <c r="C167" s="10">
        <v>0</v>
      </c>
      <c r="D167" s="26"/>
      <c r="E167" s="26"/>
      <c r="F167" s="28"/>
      <c r="G167" s="26"/>
      <c r="H167" s="29"/>
      <c r="I167" s="29"/>
    </row>
    <row r="168" spans="1:9">
      <c r="A168">
        <v>2022</v>
      </c>
      <c r="B168" s="10" t="s">
        <v>298</v>
      </c>
      <c r="C168" s="10">
        <v>0</v>
      </c>
      <c r="D168" s="26"/>
      <c r="E168" s="26"/>
      <c r="F168" s="28"/>
      <c r="G168" s="26"/>
      <c r="H168" s="29"/>
      <c r="I168" s="29"/>
    </row>
    <row r="169" spans="1:9">
      <c r="A169">
        <v>2022</v>
      </c>
      <c r="B169" s="10" t="s">
        <v>122</v>
      </c>
      <c r="C169" s="10">
        <v>0</v>
      </c>
      <c r="D169" s="26"/>
      <c r="E169" s="26"/>
      <c r="F169" s="28"/>
      <c r="G169" s="26"/>
      <c r="H169" s="29"/>
      <c r="I169" s="29"/>
    </row>
    <row r="170" spans="1:9">
      <c r="A170">
        <v>2022</v>
      </c>
      <c r="B170" s="10" t="s">
        <v>327</v>
      </c>
      <c r="C170" s="23">
        <v>2984134</v>
      </c>
      <c r="D170" s="29"/>
      <c r="E170" s="26"/>
      <c r="F170" s="28"/>
      <c r="G170" s="29"/>
      <c r="H170" s="29"/>
      <c r="I170" s="29"/>
    </row>
    <row r="171" spans="1:9">
      <c r="A171">
        <v>2022</v>
      </c>
      <c r="B171" s="10" t="s">
        <v>124</v>
      </c>
      <c r="C171" s="10">
        <v>0</v>
      </c>
      <c r="D171" s="26"/>
      <c r="E171" s="26"/>
      <c r="F171" s="28"/>
      <c r="G171" s="26"/>
      <c r="H171" s="29"/>
      <c r="I171" s="29"/>
    </row>
    <row r="172" spans="1:9">
      <c r="A172">
        <v>2022</v>
      </c>
      <c r="B172" s="10" t="s">
        <v>125</v>
      </c>
      <c r="C172" s="23">
        <v>128619</v>
      </c>
      <c r="D172" s="29"/>
      <c r="E172" s="26"/>
      <c r="F172" s="28"/>
      <c r="G172" s="29"/>
      <c r="H172" s="29"/>
      <c r="I172" s="29"/>
    </row>
    <row r="173" spans="1:9">
      <c r="A173">
        <v>2022</v>
      </c>
      <c r="B173" s="10" t="s">
        <v>126</v>
      </c>
      <c r="C173" s="10">
        <v>0</v>
      </c>
      <c r="D173" s="26"/>
      <c r="E173" s="26"/>
      <c r="F173" s="28"/>
      <c r="G173" s="26"/>
      <c r="H173" s="29"/>
      <c r="I173" s="29"/>
    </row>
    <row r="174" spans="1:9">
      <c r="A174">
        <v>2022</v>
      </c>
      <c r="B174" s="10" t="s">
        <v>286</v>
      </c>
      <c r="C174" s="23">
        <v>1339223</v>
      </c>
      <c r="D174" s="29"/>
      <c r="E174" s="26"/>
      <c r="F174" s="28"/>
      <c r="G174" s="29"/>
      <c r="H174" s="29"/>
      <c r="I174" s="29"/>
    </row>
    <row r="175" spans="1:9">
      <c r="A175">
        <v>2022</v>
      </c>
      <c r="B175" s="10" t="s">
        <v>290</v>
      </c>
      <c r="C175" s="23">
        <v>915641</v>
      </c>
      <c r="D175" s="29"/>
      <c r="E175" s="26"/>
      <c r="F175" s="28"/>
      <c r="G175" s="29"/>
      <c r="H175" s="29"/>
      <c r="I175" s="29"/>
    </row>
    <row r="176" spans="1:9">
      <c r="A176">
        <v>2022</v>
      </c>
      <c r="B176" s="10" t="s">
        <v>347</v>
      </c>
      <c r="C176" s="23">
        <v>499610</v>
      </c>
      <c r="D176" s="29"/>
      <c r="E176" s="26"/>
      <c r="F176" s="28"/>
      <c r="G176" s="29"/>
      <c r="H176" s="29"/>
      <c r="I176" s="29"/>
    </row>
    <row r="177" spans="1:9">
      <c r="A177">
        <v>2022</v>
      </c>
      <c r="B177" s="10" t="s">
        <v>129</v>
      </c>
      <c r="C177" s="10">
        <v>0</v>
      </c>
      <c r="D177" s="26"/>
      <c r="E177" s="26"/>
      <c r="F177" s="28"/>
      <c r="G177" s="26"/>
      <c r="H177" s="29"/>
      <c r="I177" s="29"/>
    </row>
    <row r="178" spans="1:9">
      <c r="A178">
        <v>2022</v>
      </c>
      <c r="B178" s="10" t="s">
        <v>328</v>
      </c>
      <c r="C178" s="23">
        <v>393093</v>
      </c>
      <c r="D178" s="29"/>
      <c r="E178" s="26"/>
      <c r="F178" s="28"/>
      <c r="G178" s="29"/>
      <c r="H178" s="29"/>
      <c r="I178" s="29"/>
    </row>
    <row r="179" spans="1:9">
      <c r="A179">
        <v>2022</v>
      </c>
      <c r="B179" s="10" t="s">
        <v>130</v>
      </c>
      <c r="C179" s="23">
        <v>1349049</v>
      </c>
      <c r="D179" s="29"/>
      <c r="E179" s="26"/>
      <c r="F179" s="28"/>
      <c r="G179" s="29"/>
      <c r="H179" s="29"/>
      <c r="I179" s="29"/>
    </row>
    <row r="180" spans="1:9">
      <c r="A180">
        <v>2022</v>
      </c>
      <c r="B180" s="10" t="s">
        <v>131</v>
      </c>
      <c r="C180" s="10">
        <v>0</v>
      </c>
      <c r="D180" s="26"/>
      <c r="E180" s="26"/>
      <c r="F180" s="28"/>
      <c r="G180" s="26"/>
      <c r="H180" s="29"/>
      <c r="I180" s="29"/>
    </row>
    <row r="181" spans="1:9">
      <c r="A181">
        <v>2022</v>
      </c>
      <c r="B181" s="10" t="s">
        <v>132</v>
      </c>
      <c r="C181" s="10">
        <v>0</v>
      </c>
      <c r="D181" s="26"/>
      <c r="E181" s="26"/>
      <c r="F181" s="28"/>
      <c r="G181" s="26"/>
      <c r="H181" s="29"/>
      <c r="I181" s="29"/>
    </row>
    <row r="182" spans="1:9">
      <c r="A182">
        <v>2022</v>
      </c>
      <c r="B182" s="10" t="s">
        <v>230</v>
      </c>
      <c r="C182" s="10">
        <v>0</v>
      </c>
      <c r="D182" s="26"/>
      <c r="E182" s="26"/>
      <c r="F182" s="28"/>
      <c r="G182" s="26"/>
      <c r="H182" s="29"/>
      <c r="I182" s="29"/>
    </row>
    <row r="183" spans="1:9">
      <c r="A183">
        <v>2022</v>
      </c>
      <c r="B183" s="10" t="s">
        <v>133</v>
      </c>
      <c r="C183" s="23">
        <v>8904431</v>
      </c>
      <c r="D183" s="29"/>
      <c r="E183" s="26"/>
      <c r="F183" s="28"/>
      <c r="G183" s="29"/>
      <c r="H183" s="29"/>
      <c r="I183" s="29"/>
    </row>
    <row r="184" spans="1:9">
      <c r="A184">
        <v>2022</v>
      </c>
      <c r="B184" s="10" t="s">
        <v>205</v>
      </c>
      <c r="C184" s="23">
        <v>1855168</v>
      </c>
      <c r="D184" s="29"/>
      <c r="E184" s="26"/>
      <c r="F184" s="28"/>
      <c r="G184" s="29"/>
      <c r="H184" s="29"/>
      <c r="I184" s="29"/>
    </row>
    <row r="185" spans="1:9">
      <c r="A185">
        <v>2022</v>
      </c>
      <c r="B185" s="10" t="s">
        <v>206</v>
      </c>
      <c r="C185" s="10">
        <v>0</v>
      </c>
      <c r="D185" s="26"/>
      <c r="E185" s="26"/>
      <c r="F185" s="28"/>
      <c r="G185" s="26"/>
      <c r="H185" s="29"/>
      <c r="I185" s="29"/>
    </row>
    <row r="186" spans="1:9">
      <c r="A186">
        <v>2022</v>
      </c>
      <c r="B186" s="10" t="s">
        <v>134</v>
      </c>
      <c r="C186" s="23">
        <v>1007177</v>
      </c>
      <c r="D186" s="29"/>
      <c r="E186" s="26"/>
      <c r="F186" s="28"/>
      <c r="G186" s="29"/>
      <c r="H186" s="29"/>
      <c r="I186" s="29"/>
    </row>
    <row r="187" spans="1:9">
      <c r="A187">
        <v>2022</v>
      </c>
      <c r="B187" s="10" t="s">
        <v>139</v>
      </c>
      <c r="C187" s="10">
        <v>0</v>
      </c>
      <c r="D187" s="26"/>
      <c r="E187" s="26"/>
      <c r="F187" s="28"/>
      <c r="G187" s="26"/>
      <c r="H187" s="29"/>
      <c r="I187" s="29"/>
    </row>
    <row r="188" spans="1:9">
      <c r="A188">
        <v>2022</v>
      </c>
      <c r="B188" s="10" t="s">
        <v>140</v>
      </c>
      <c r="C188" s="23">
        <v>360936</v>
      </c>
      <c r="D188" s="29"/>
      <c r="E188" s="26"/>
      <c r="F188" s="28"/>
      <c r="G188" s="29"/>
      <c r="H188" s="29"/>
      <c r="I188" s="29"/>
    </row>
    <row r="189" spans="1:9">
      <c r="A189">
        <v>2022</v>
      </c>
      <c r="B189" s="10" t="s">
        <v>142</v>
      </c>
      <c r="C189" s="10">
        <v>0</v>
      </c>
      <c r="D189" s="26"/>
      <c r="E189" s="26"/>
      <c r="F189" s="28"/>
      <c r="G189" s="26"/>
      <c r="H189" s="29"/>
      <c r="I189" s="29"/>
    </row>
    <row r="190" spans="1:9">
      <c r="A190">
        <v>2022</v>
      </c>
      <c r="B190" s="10" t="s">
        <v>143</v>
      </c>
      <c r="C190" s="10">
        <v>0</v>
      </c>
      <c r="D190" s="26"/>
      <c r="E190" s="26"/>
      <c r="F190" s="28"/>
      <c r="G190" s="26"/>
      <c r="H190" s="29"/>
      <c r="I190" s="29"/>
    </row>
    <row r="191" spans="1:9">
      <c r="A191">
        <v>2022</v>
      </c>
      <c r="B191" s="10" t="s">
        <v>329</v>
      </c>
      <c r="C191" s="23">
        <v>4336130</v>
      </c>
      <c r="D191" s="29"/>
      <c r="E191" s="26"/>
      <c r="F191" s="28"/>
      <c r="G191" s="29"/>
      <c r="H191" s="29"/>
      <c r="I191" s="29"/>
    </row>
    <row r="192" spans="1:9">
      <c r="A192">
        <v>2022</v>
      </c>
      <c r="B192" s="10" t="s">
        <v>146</v>
      </c>
      <c r="C192" s="25">
        <v>10226053</v>
      </c>
      <c r="D192" s="27"/>
      <c r="E192" s="27"/>
      <c r="F192" s="28"/>
      <c r="G192" s="27"/>
      <c r="H192" s="27"/>
      <c r="I192" s="27"/>
    </row>
    <row r="193" spans="1:9">
      <c r="A193">
        <v>2022</v>
      </c>
      <c r="B193" s="10" t="s">
        <v>147</v>
      </c>
      <c r="C193" s="23">
        <v>445347</v>
      </c>
      <c r="D193" s="29"/>
      <c r="E193" s="26"/>
      <c r="F193" s="28"/>
      <c r="G193" s="29"/>
      <c r="H193" s="29"/>
      <c r="I193" s="29"/>
    </row>
    <row r="194" spans="1:9">
      <c r="A194">
        <v>2022</v>
      </c>
      <c r="B194" s="10" t="s">
        <v>330</v>
      </c>
      <c r="C194" s="10">
        <v>0</v>
      </c>
      <c r="D194" s="26"/>
      <c r="E194" s="26"/>
      <c r="F194" s="28"/>
      <c r="G194" s="26"/>
      <c r="H194" s="29"/>
      <c r="I194" s="29"/>
    </row>
    <row r="195" spans="1:9">
      <c r="A195">
        <v>2022</v>
      </c>
      <c r="B195" s="10" t="s">
        <v>288</v>
      </c>
      <c r="C195" s="23">
        <v>502197</v>
      </c>
      <c r="D195" s="29"/>
      <c r="E195" s="26"/>
      <c r="F195" s="28"/>
      <c r="G195" s="29"/>
      <c r="H195" s="29"/>
      <c r="I195" s="29"/>
    </row>
    <row r="196" spans="1:9">
      <c r="A196">
        <v>2022</v>
      </c>
      <c r="B196" s="10" t="s">
        <v>266</v>
      </c>
      <c r="C196" s="23">
        <v>2821029</v>
      </c>
      <c r="D196" s="29"/>
      <c r="E196" s="26"/>
      <c r="F196" s="28"/>
      <c r="G196" s="29"/>
      <c r="H196" s="29"/>
      <c r="I196" s="29"/>
    </row>
    <row r="197" spans="1:9">
      <c r="A197">
        <v>2022</v>
      </c>
      <c r="B197" s="10" t="s">
        <v>355</v>
      </c>
      <c r="C197" s="23">
        <v>773297</v>
      </c>
      <c r="D197" s="29"/>
      <c r="E197" s="26"/>
      <c r="F197" s="28"/>
      <c r="G197" s="29"/>
      <c r="H197" s="29"/>
      <c r="I197" s="29"/>
    </row>
    <row r="198" spans="1:9">
      <c r="A198">
        <v>2022</v>
      </c>
      <c r="B198" s="10" t="s">
        <v>348</v>
      </c>
      <c r="C198" s="23">
        <v>2849375</v>
      </c>
      <c r="D198" s="29"/>
      <c r="E198" s="26"/>
      <c r="F198" s="28"/>
      <c r="G198" s="29"/>
      <c r="H198" s="29"/>
      <c r="I198" s="29"/>
    </row>
    <row r="199" spans="1:9">
      <c r="A199">
        <v>2022</v>
      </c>
      <c r="B199" s="10" t="s">
        <v>284</v>
      </c>
      <c r="C199" s="10">
        <v>0</v>
      </c>
      <c r="D199" s="26"/>
      <c r="E199" s="26"/>
      <c r="F199" s="28"/>
      <c r="G199" s="26"/>
      <c r="H199" s="29"/>
      <c r="I199" s="29"/>
    </row>
    <row r="200" spans="1:9">
      <c r="A200">
        <v>2022</v>
      </c>
      <c r="B200" s="10" t="s">
        <v>148</v>
      </c>
      <c r="C200" s="23">
        <v>4432378</v>
      </c>
      <c r="D200" s="29"/>
      <c r="E200" s="26"/>
      <c r="F200" s="28"/>
      <c r="G200" s="29"/>
      <c r="H200" s="29"/>
      <c r="I200" s="29"/>
    </row>
    <row r="201" spans="1:9">
      <c r="A201">
        <v>2022</v>
      </c>
      <c r="B201" s="10" t="s">
        <v>199</v>
      </c>
      <c r="C201" s="23">
        <v>2405058</v>
      </c>
      <c r="D201" s="29"/>
      <c r="E201" s="26"/>
      <c r="F201" s="28"/>
      <c r="G201" s="29"/>
      <c r="H201" s="29"/>
      <c r="I201" s="29"/>
    </row>
    <row r="202" spans="1:9">
      <c r="A202">
        <v>2022</v>
      </c>
      <c r="B202" s="10" t="s">
        <v>137</v>
      </c>
      <c r="C202" s="23">
        <v>2203741</v>
      </c>
      <c r="D202" s="29"/>
      <c r="E202" s="26"/>
      <c r="F202" s="28"/>
      <c r="G202" s="29"/>
      <c r="H202" s="29"/>
      <c r="I202" s="29"/>
    </row>
    <row r="203" spans="1:9">
      <c r="A203">
        <v>2022</v>
      </c>
      <c r="B203" s="10" t="s">
        <v>149</v>
      </c>
      <c r="C203" s="23">
        <v>166185</v>
      </c>
      <c r="D203" s="29"/>
      <c r="E203" s="26"/>
      <c r="F203" s="28"/>
      <c r="G203" s="29"/>
      <c r="H203" s="29"/>
      <c r="I203" s="29"/>
    </row>
    <row r="204" spans="1:9">
      <c r="A204">
        <v>2022</v>
      </c>
      <c r="B204" s="10" t="s">
        <v>150</v>
      </c>
      <c r="C204" s="10">
        <v>0</v>
      </c>
      <c r="D204" s="26"/>
      <c r="E204" s="26"/>
      <c r="F204" s="28"/>
      <c r="G204" s="26"/>
      <c r="H204" s="29"/>
      <c r="I204" s="29"/>
    </row>
    <row r="205" spans="1:9">
      <c r="A205">
        <v>2022</v>
      </c>
      <c r="B205" s="10" t="s">
        <v>269</v>
      </c>
      <c r="C205" s="10">
        <v>0</v>
      </c>
      <c r="D205" s="26"/>
      <c r="E205" s="26"/>
      <c r="F205" s="28"/>
      <c r="G205" s="26"/>
      <c r="H205" s="29"/>
      <c r="I205" s="29"/>
    </row>
    <row r="206" spans="1:9">
      <c r="A206">
        <v>2022</v>
      </c>
      <c r="B206" s="10" t="s">
        <v>151</v>
      </c>
      <c r="C206" s="10">
        <v>0</v>
      </c>
      <c r="D206" s="26"/>
      <c r="E206" s="26"/>
      <c r="F206" s="28"/>
      <c r="G206" s="26"/>
      <c r="H206" s="29"/>
      <c r="I206" s="29"/>
    </row>
    <row r="207" spans="1:9">
      <c r="A207">
        <v>2022</v>
      </c>
      <c r="B207" s="10" t="s">
        <v>152</v>
      </c>
      <c r="C207" s="23">
        <v>312563</v>
      </c>
      <c r="D207" s="29"/>
      <c r="E207" s="26"/>
      <c r="F207" s="28"/>
      <c r="G207" s="29"/>
      <c r="H207" s="29"/>
      <c r="I207" s="29"/>
    </row>
    <row r="208" spans="1:9">
      <c r="A208">
        <v>2022</v>
      </c>
      <c r="B208" s="10" t="s">
        <v>154</v>
      </c>
      <c r="C208" s="10">
        <v>0</v>
      </c>
      <c r="D208" s="26"/>
      <c r="E208" s="26"/>
      <c r="F208" s="28"/>
      <c r="G208" s="26"/>
      <c r="H208" s="29"/>
      <c r="I208" s="29"/>
    </row>
    <row r="209" spans="1:9">
      <c r="A209">
        <v>2022</v>
      </c>
      <c r="B209" s="10" t="s">
        <v>155</v>
      </c>
      <c r="C209" s="10">
        <v>0</v>
      </c>
      <c r="D209" s="26"/>
      <c r="E209" s="26"/>
      <c r="F209" s="28"/>
      <c r="G209" s="26"/>
      <c r="H209" s="29"/>
      <c r="I209" s="29"/>
    </row>
    <row r="210" spans="1:9">
      <c r="A210">
        <v>2022</v>
      </c>
      <c r="B210" s="10" t="s">
        <v>156</v>
      </c>
      <c r="C210" s="10">
        <v>0</v>
      </c>
      <c r="D210" s="26"/>
      <c r="E210" s="26"/>
      <c r="F210" s="28"/>
      <c r="G210" s="26"/>
      <c r="H210" s="29"/>
      <c r="I210" s="29"/>
    </row>
    <row r="211" spans="1:9">
      <c r="A211">
        <v>2022</v>
      </c>
      <c r="B211" s="10" t="s">
        <v>331</v>
      </c>
      <c r="C211" s="23">
        <v>2739363</v>
      </c>
      <c r="D211" s="29"/>
      <c r="E211" s="26"/>
      <c r="F211" s="28"/>
      <c r="G211" s="29"/>
      <c r="H211" s="29"/>
      <c r="I211" s="29"/>
    </row>
    <row r="212" spans="1:9">
      <c r="A212">
        <v>2022</v>
      </c>
      <c r="B212" s="10" t="s">
        <v>200</v>
      </c>
      <c r="C212" s="23">
        <v>969749</v>
      </c>
      <c r="D212" s="29"/>
      <c r="E212" s="26"/>
      <c r="F212" s="28"/>
      <c r="G212" s="29"/>
      <c r="H212" s="29"/>
      <c r="I212" s="29"/>
    </row>
    <row r="213" spans="1:9">
      <c r="A213">
        <v>2022</v>
      </c>
      <c r="B213" s="10" t="s">
        <v>157</v>
      </c>
      <c r="C213" s="23">
        <v>638579</v>
      </c>
      <c r="D213" s="29"/>
      <c r="E213" s="26"/>
      <c r="F213" s="28"/>
      <c r="G213" s="29"/>
      <c r="H213" s="29"/>
      <c r="I213" s="29"/>
    </row>
    <row r="214" spans="1:9">
      <c r="A214">
        <v>2022</v>
      </c>
      <c r="B214" s="10" t="s">
        <v>159</v>
      </c>
      <c r="C214" s="10">
        <v>0</v>
      </c>
      <c r="D214" s="26"/>
      <c r="E214" s="26"/>
      <c r="F214" s="28"/>
      <c r="G214" s="26"/>
      <c r="H214" s="29"/>
      <c r="I214" s="29"/>
    </row>
    <row r="215" spans="1:9">
      <c r="A215">
        <v>2022</v>
      </c>
      <c r="B215" s="10" t="s">
        <v>160</v>
      </c>
      <c r="C215" s="23">
        <v>469402</v>
      </c>
      <c r="D215" s="29"/>
      <c r="E215" s="26"/>
      <c r="F215" s="28"/>
      <c r="G215" s="29"/>
      <c r="H215" s="29"/>
      <c r="I215" s="29"/>
    </row>
    <row r="216" spans="1:9">
      <c r="A216">
        <v>2022</v>
      </c>
      <c r="B216" s="10" t="s">
        <v>161</v>
      </c>
      <c r="C216" s="10">
        <v>0</v>
      </c>
      <c r="D216" s="26"/>
      <c r="E216" s="26"/>
      <c r="F216" s="28"/>
      <c r="G216" s="26"/>
      <c r="H216" s="29"/>
      <c r="I216" s="29"/>
    </row>
    <row r="217" spans="1:9">
      <c r="A217">
        <v>2022</v>
      </c>
      <c r="B217" s="10" t="s">
        <v>332</v>
      </c>
      <c r="C217" s="23">
        <v>1359548</v>
      </c>
      <c r="D217" s="29"/>
      <c r="E217" s="26"/>
      <c r="F217" s="28"/>
      <c r="G217" s="29"/>
      <c r="H217" s="29"/>
      <c r="I217" s="29"/>
    </row>
    <row r="218" spans="1:9">
      <c r="A218">
        <v>2022</v>
      </c>
      <c r="B218" s="10" t="s">
        <v>224</v>
      </c>
      <c r="C218" s="23">
        <v>1096731</v>
      </c>
      <c r="D218" s="29"/>
      <c r="E218" s="26"/>
      <c r="F218" s="28"/>
      <c r="G218" s="29"/>
      <c r="H218" s="29"/>
      <c r="I218" s="29"/>
    </row>
    <row r="219" spans="1:9">
      <c r="A219">
        <v>2022</v>
      </c>
      <c r="B219" s="10" t="s">
        <v>251</v>
      </c>
      <c r="C219" s="23">
        <v>979412</v>
      </c>
      <c r="D219" s="29"/>
      <c r="E219" s="26"/>
      <c r="F219" s="28"/>
      <c r="G219" s="29"/>
      <c r="H219" s="29"/>
      <c r="I219" s="29"/>
    </row>
    <row r="220" spans="1:9">
      <c r="A220">
        <v>2022</v>
      </c>
      <c r="B220" s="10" t="s">
        <v>244</v>
      </c>
      <c r="C220" s="25">
        <v>0</v>
      </c>
      <c r="D220" s="27"/>
      <c r="E220" s="27"/>
      <c r="F220" s="28"/>
      <c r="G220" s="27"/>
      <c r="H220" s="27"/>
      <c r="I220" s="27"/>
    </row>
    <row r="221" spans="1:9">
      <c r="A221">
        <v>2022</v>
      </c>
      <c r="B221" s="10" t="s">
        <v>268</v>
      </c>
      <c r="C221" s="23">
        <v>997935</v>
      </c>
      <c r="D221" s="29"/>
      <c r="E221" s="26"/>
      <c r="F221" s="28"/>
      <c r="G221" s="29"/>
      <c r="H221" s="29"/>
      <c r="I221" s="29"/>
    </row>
    <row r="222" spans="1:9">
      <c r="A222">
        <v>2022</v>
      </c>
      <c r="B222" s="10" t="s">
        <v>257</v>
      </c>
      <c r="C222" s="10">
        <v>0</v>
      </c>
      <c r="D222" s="26"/>
      <c r="E222" s="26"/>
      <c r="F222" s="28"/>
      <c r="G222" s="26"/>
      <c r="H222" s="29"/>
      <c r="I222" s="29"/>
    </row>
    <row r="223" spans="1:9">
      <c r="A223">
        <v>2022</v>
      </c>
      <c r="B223" s="10" t="s">
        <v>272</v>
      </c>
      <c r="C223" s="10">
        <v>0</v>
      </c>
      <c r="D223" s="26"/>
      <c r="E223" s="26"/>
      <c r="F223" s="28"/>
      <c r="G223" s="26"/>
      <c r="H223" s="29"/>
      <c r="I223" s="29"/>
    </row>
    <row r="224" spans="1:9">
      <c r="A224">
        <v>2022</v>
      </c>
      <c r="B224" s="10" t="s">
        <v>274</v>
      </c>
      <c r="C224" s="23">
        <v>660422</v>
      </c>
      <c r="D224" s="29"/>
      <c r="E224" s="26"/>
      <c r="F224" s="28"/>
      <c r="G224" s="29"/>
      <c r="H224" s="29"/>
      <c r="I224" s="29"/>
    </row>
    <row r="225" spans="1:9">
      <c r="A225">
        <v>2022</v>
      </c>
      <c r="B225" s="10" t="s">
        <v>273</v>
      </c>
      <c r="C225" s="10">
        <v>0</v>
      </c>
      <c r="D225" s="26"/>
      <c r="E225" s="26"/>
      <c r="F225" s="28"/>
      <c r="G225" s="26"/>
      <c r="H225" s="29"/>
      <c r="I225" s="29"/>
    </row>
    <row r="226" spans="1:9">
      <c r="A226">
        <v>2022</v>
      </c>
      <c r="B226" s="10" t="s">
        <v>278</v>
      </c>
      <c r="C226" s="10">
        <v>0</v>
      </c>
      <c r="D226" s="26"/>
      <c r="E226" s="26"/>
      <c r="F226" s="28"/>
      <c r="G226" s="26"/>
      <c r="H226" s="29"/>
      <c r="I226" s="29"/>
    </row>
    <row r="227" spans="1:9">
      <c r="A227">
        <v>2022</v>
      </c>
      <c r="B227" s="10" t="s">
        <v>280</v>
      </c>
      <c r="C227" s="23">
        <v>2333912</v>
      </c>
      <c r="D227" s="29"/>
      <c r="E227" s="26"/>
      <c r="F227" s="28"/>
      <c r="G227" s="29"/>
      <c r="H227" s="29"/>
      <c r="I227" s="29"/>
    </row>
    <row r="228" spans="1:9">
      <c r="A228">
        <v>2022</v>
      </c>
      <c r="B228" s="10" t="s">
        <v>115</v>
      </c>
      <c r="C228" s="10">
        <v>0</v>
      </c>
      <c r="D228" s="26"/>
      <c r="E228" s="26"/>
      <c r="F228" s="28"/>
      <c r="G228" s="26"/>
      <c r="H228" s="29"/>
      <c r="I228" s="29"/>
    </row>
    <row r="229" spans="1:9">
      <c r="A229">
        <v>2022</v>
      </c>
      <c r="B229" s="10" t="s">
        <v>213</v>
      </c>
      <c r="C229" s="23">
        <v>59428</v>
      </c>
      <c r="D229" s="29"/>
      <c r="E229" s="26"/>
      <c r="F229" s="28"/>
      <c r="G229" s="29"/>
      <c r="H229" s="29"/>
      <c r="I229" s="29"/>
    </row>
    <row r="230" spans="1:9">
      <c r="A230">
        <v>2022</v>
      </c>
      <c r="B230" s="10" t="s">
        <v>165</v>
      </c>
      <c r="C230" s="23">
        <v>528514</v>
      </c>
      <c r="D230" s="29"/>
      <c r="E230" s="26"/>
      <c r="F230" s="28"/>
      <c r="G230" s="29"/>
      <c r="H230" s="29"/>
      <c r="I230" s="29"/>
    </row>
    <row r="231" spans="1:9">
      <c r="A231">
        <v>2022</v>
      </c>
      <c r="B231" s="10" t="s">
        <v>167</v>
      </c>
      <c r="C231" s="10">
        <v>0</v>
      </c>
      <c r="D231" s="26"/>
      <c r="E231" s="26"/>
      <c r="F231" s="28"/>
      <c r="G231" s="26"/>
      <c r="H231" s="29"/>
      <c r="I231" s="29"/>
    </row>
    <row r="232" spans="1:9">
      <c r="A232">
        <v>2022</v>
      </c>
      <c r="B232" s="10" t="s">
        <v>169</v>
      </c>
      <c r="C232" s="10">
        <v>0</v>
      </c>
      <c r="D232" s="26"/>
      <c r="E232" s="26"/>
      <c r="F232" s="28"/>
      <c r="G232" s="26"/>
      <c r="H232" s="29"/>
      <c r="I232" s="29"/>
    </row>
    <row r="233" spans="1:9">
      <c r="A233">
        <v>2022</v>
      </c>
      <c r="B233" s="10" t="s">
        <v>275</v>
      </c>
      <c r="C233" s="10">
        <v>0</v>
      </c>
      <c r="D233" s="26"/>
      <c r="E233" s="26"/>
      <c r="F233" s="28"/>
      <c r="G233" s="26"/>
      <c r="H233" s="29"/>
      <c r="I233" s="29"/>
    </row>
    <row r="234" spans="1:9">
      <c r="A234">
        <v>2022</v>
      </c>
      <c r="B234" s="10" t="s">
        <v>349</v>
      </c>
      <c r="C234" s="23">
        <v>5712932</v>
      </c>
      <c r="D234" s="29"/>
      <c r="E234" s="26"/>
      <c r="F234" s="28"/>
      <c r="G234" s="29"/>
      <c r="H234" s="29"/>
      <c r="I234" s="29"/>
    </row>
    <row r="235" spans="1:9">
      <c r="A235">
        <v>2022</v>
      </c>
      <c r="B235" s="10" t="s">
        <v>211</v>
      </c>
      <c r="C235" s="10">
        <v>0</v>
      </c>
      <c r="D235" s="26"/>
      <c r="E235" s="26"/>
      <c r="F235" s="28"/>
      <c r="G235" s="26"/>
      <c r="H235" s="29"/>
      <c r="I235" s="29"/>
    </row>
    <row r="236" spans="1:9">
      <c r="A236">
        <v>2022</v>
      </c>
      <c r="B236" s="10" t="s">
        <v>171</v>
      </c>
      <c r="C236" s="10">
        <v>0</v>
      </c>
      <c r="D236" s="26"/>
      <c r="E236" s="26"/>
      <c r="F236" s="28"/>
      <c r="G236" s="26"/>
      <c r="H236" s="29"/>
      <c r="I236" s="29"/>
    </row>
    <row r="237" spans="1:9">
      <c r="A237">
        <v>2022</v>
      </c>
      <c r="B237" s="10" t="s">
        <v>245</v>
      </c>
      <c r="C237" s="10">
        <v>0</v>
      </c>
      <c r="D237" s="26"/>
      <c r="E237" s="26"/>
      <c r="F237" s="28"/>
      <c r="G237" s="26"/>
      <c r="H237" s="29"/>
      <c r="I237" s="29"/>
    </row>
    <row r="238" spans="1:9">
      <c r="A238">
        <v>2022</v>
      </c>
      <c r="B238" s="10" t="s">
        <v>173</v>
      </c>
      <c r="C238" s="10">
        <v>0</v>
      </c>
      <c r="D238" s="26"/>
      <c r="E238" s="26"/>
      <c r="F238" s="28"/>
      <c r="G238" s="26"/>
      <c r="H238" s="29"/>
      <c r="I238" s="29"/>
    </row>
    <row r="239" spans="1:9">
      <c r="A239">
        <v>2022</v>
      </c>
      <c r="B239" s="10" t="s">
        <v>175</v>
      </c>
      <c r="C239" s="23">
        <v>597758</v>
      </c>
      <c r="D239" s="29"/>
      <c r="E239" s="26"/>
      <c r="F239" s="28"/>
      <c r="G239" s="29"/>
      <c r="H239" s="29"/>
      <c r="I239" s="29"/>
    </row>
    <row r="240" spans="1:9">
      <c r="A240">
        <v>2022</v>
      </c>
      <c r="B240" s="10" t="s">
        <v>176</v>
      </c>
      <c r="C240" s="10">
        <v>0</v>
      </c>
      <c r="D240" s="26"/>
      <c r="E240" s="26"/>
      <c r="F240" s="28"/>
      <c r="G240" s="26"/>
      <c r="H240" s="29"/>
      <c r="I240" s="29"/>
    </row>
    <row r="241" spans="1:9">
      <c r="A241">
        <v>2022</v>
      </c>
      <c r="B241" s="10" t="s">
        <v>333</v>
      </c>
      <c r="C241" s="23">
        <v>497828</v>
      </c>
      <c r="D241" s="29"/>
      <c r="E241" s="26"/>
      <c r="F241" s="28"/>
      <c r="G241" s="29"/>
      <c r="H241" s="29"/>
      <c r="I241" s="29"/>
    </row>
    <row r="242" spans="1:9">
      <c r="A242">
        <v>2022</v>
      </c>
      <c r="B242" s="10" t="s">
        <v>350</v>
      </c>
      <c r="C242" s="23">
        <v>1642414</v>
      </c>
      <c r="D242" s="29"/>
      <c r="E242" s="26"/>
      <c r="F242" s="28"/>
      <c r="G242" s="29"/>
      <c r="H242" s="29"/>
      <c r="I242" s="29"/>
    </row>
    <row r="243" spans="1:9">
      <c r="A243">
        <v>2022</v>
      </c>
      <c r="B243" s="10" t="s">
        <v>177</v>
      </c>
      <c r="C243" s="10">
        <v>0</v>
      </c>
      <c r="D243" s="26"/>
      <c r="E243" s="26"/>
      <c r="F243" s="28"/>
      <c r="G243" s="26"/>
      <c r="H243" s="29"/>
      <c r="I243" s="29"/>
    </row>
    <row r="244" spans="1:9">
      <c r="A244">
        <v>2022</v>
      </c>
      <c r="B244" s="10" t="s">
        <v>178</v>
      </c>
      <c r="C244" s="10">
        <v>0</v>
      </c>
      <c r="D244" s="26"/>
      <c r="E244" s="26"/>
      <c r="F244" s="28"/>
      <c r="G244" s="26"/>
      <c r="H244" s="29"/>
      <c r="I244" s="29"/>
    </row>
    <row r="245" spans="1:9">
      <c r="A245">
        <v>2022</v>
      </c>
      <c r="B245" s="10" t="s">
        <v>180</v>
      </c>
      <c r="C245" s="10">
        <v>0</v>
      </c>
      <c r="D245" s="26"/>
      <c r="E245" s="26"/>
      <c r="F245" s="28"/>
      <c r="G245" s="26"/>
      <c r="H245" s="29"/>
      <c r="I245" s="29"/>
    </row>
    <row r="246" spans="1:9">
      <c r="A246">
        <v>2022</v>
      </c>
      <c r="B246" s="10" t="s">
        <v>334</v>
      </c>
      <c r="C246" s="23">
        <v>1732522</v>
      </c>
      <c r="D246" s="29"/>
      <c r="E246" s="26"/>
      <c r="F246" s="28"/>
      <c r="G246" s="29"/>
      <c r="H246" s="29"/>
      <c r="I246" s="29"/>
    </row>
    <row r="247" spans="1:9">
      <c r="A247">
        <v>2022</v>
      </c>
      <c r="B247" s="10" t="s">
        <v>305</v>
      </c>
      <c r="C247" s="23">
        <v>733721</v>
      </c>
      <c r="D247" s="29"/>
      <c r="E247" s="26"/>
      <c r="F247" s="28"/>
      <c r="G247" s="29"/>
      <c r="H247" s="29"/>
      <c r="I247" s="29"/>
    </row>
    <row r="248" spans="1:9">
      <c r="A248">
        <v>2022</v>
      </c>
      <c r="B248" s="10" t="s">
        <v>183</v>
      </c>
      <c r="C248" s="23">
        <v>6971</v>
      </c>
      <c r="D248" s="29"/>
      <c r="E248" s="26"/>
      <c r="F248" s="28"/>
      <c r="G248" s="29"/>
      <c r="H248" s="29"/>
      <c r="I248" s="29"/>
    </row>
    <row r="249" spans="1:9">
      <c r="A249">
        <v>2022</v>
      </c>
      <c r="B249" s="10" t="s">
        <v>185</v>
      </c>
      <c r="C249" s="10">
        <v>0</v>
      </c>
      <c r="D249" s="26"/>
      <c r="E249" s="26"/>
      <c r="F249" s="28"/>
      <c r="G249" s="26"/>
      <c r="H249" s="29"/>
      <c r="I249" s="29"/>
    </row>
    <row r="250" spans="1:9">
      <c r="A250">
        <v>2022</v>
      </c>
      <c r="B250" s="10" t="s">
        <v>184</v>
      </c>
      <c r="C250" s="10">
        <v>0</v>
      </c>
      <c r="D250" s="26"/>
      <c r="E250" s="26"/>
      <c r="F250" s="28"/>
      <c r="G250" s="26"/>
      <c r="H250" s="29"/>
      <c r="I250" s="29"/>
    </row>
    <row r="251" spans="1:9">
      <c r="A251">
        <v>2022</v>
      </c>
      <c r="B251" s="10" t="s">
        <v>276</v>
      </c>
      <c r="C251" s="25">
        <v>1036140</v>
      </c>
      <c r="D251" s="27"/>
      <c r="E251" s="27"/>
      <c r="F251" s="28"/>
      <c r="G251" s="27"/>
      <c r="H251" s="27"/>
      <c r="I251" s="27"/>
    </row>
    <row r="252" spans="1:9">
      <c r="A252">
        <v>2022</v>
      </c>
      <c r="B252" s="10" t="s">
        <v>270</v>
      </c>
      <c r="C252" s="23">
        <v>1567946</v>
      </c>
      <c r="D252" s="29"/>
      <c r="E252" s="26"/>
      <c r="F252" s="28"/>
      <c r="G252" s="29"/>
      <c r="H252" s="29"/>
      <c r="I252" s="29"/>
    </row>
    <row r="253" spans="1:9">
      <c r="A253">
        <v>2022</v>
      </c>
      <c r="B253" s="10" t="s">
        <v>351</v>
      </c>
      <c r="C253" s="23">
        <v>698339</v>
      </c>
      <c r="D253" s="29"/>
      <c r="E253" s="26"/>
      <c r="F253" s="28"/>
      <c r="G253" s="29"/>
      <c r="H253" s="29"/>
      <c r="I253" s="29"/>
    </row>
    <row r="254" spans="1:9">
      <c r="A254">
        <v>2022</v>
      </c>
      <c r="B254" s="10" t="s">
        <v>188</v>
      </c>
      <c r="C254" s="23">
        <v>37615</v>
      </c>
      <c r="D254" s="29"/>
      <c r="E254" s="26"/>
      <c r="F254" s="28"/>
      <c r="G254" s="29"/>
      <c r="H254" s="29"/>
      <c r="I254" s="29"/>
    </row>
    <row r="255" spans="1:9">
      <c r="A255">
        <v>2022</v>
      </c>
      <c r="B255" s="10" t="s">
        <v>352</v>
      </c>
      <c r="C255" s="23">
        <v>7329996</v>
      </c>
      <c r="D255" s="29"/>
      <c r="E255" s="26"/>
      <c r="F255" s="28"/>
      <c r="G255" s="29"/>
      <c r="H255" s="29"/>
      <c r="I255" s="29"/>
    </row>
    <row r="256" spans="1:9">
      <c r="A256">
        <v>2022</v>
      </c>
      <c r="B256" s="10" t="s">
        <v>233</v>
      </c>
      <c r="C256" s="23">
        <v>2505238</v>
      </c>
      <c r="D256" s="29"/>
      <c r="E256" s="26"/>
      <c r="F256" s="28"/>
      <c r="G256" s="29"/>
      <c r="H256" s="29"/>
      <c r="I256" s="29"/>
    </row>
    <row r="257" spans="1:9">
      <c r="A257">
        <v>2022</v>
      </c>
      <c r="B257" s="10" t="s">
        <v>277</v>
      </c>
      <c r="C257" s="23">
        <v>555402</v>
      </c>
      <c r="D257" s="29"/>
      <c r="E257" s="26"/>
      <c r="F257" s="28"/>
      <c r="G257" s="29"/>
      <c r="H257" s="29"/>
      <c r="I257" s="29"/>
    </row>
    <row r="258" spans="1:9">
      <c r="A258">
        <v>2022</v>
      </c>
      <c r="B258" s="10" t="s">
        <v>335</v>
      </c>
      <c r="C258" s="23">
        <v>2937649</v>
      </c>
      <c r="D258" s="29"/>
      <c r="E258" s="26"/>
      <c r="F258" s="28"/>
      <c r="G258" s="29"/>
      <c r="H258" s="29"/>
      <c r="I258" s="29"/>
    </row>
    <row r="259" spans="1:9">
      <c r="A259">
        <v>2022</v>
      </c>
      <c r="B259" s="10" t="s">
        <v>236</v>
      </c>
      <c r="C259" s="23">
        <v>901952</v>
      </c>
      <c r="D259" s="29"/>
      <c r="E259" s="26"/>
      <c r="F259" s="28"/>
      <c r="G259" s="29"/>
      <c r="H259" s="29"/>
      <c r="I259" s="29"/>
    </row>
    <row r="260" spans="1:9">
      <c r="A260">
        <v>2022</v>
      </c>
      <c r="B260" s="10" t="s">
        <v>189</v>
      </c>
      <c r="C260" s="10">
        <v>0</v>
      </c>
      <c r="D260" s="26"/>
      <c r="E260" s="26"/>
      <c r="F260" s="28"/>
      <c r="G260" s="26"/>
      <c r="H260" s="29"/>
      <c r="I260" s="29"/>
    </row>
    <row r="261" spans="1:9">
      <c r="A261">
        <v>2022</v>
      </c>
      <c r="B261" s="10" t="s">
        <v>260</v>
      </c>
      <c r="C261" s="23">
        <v>1042074</v>
      </c>
      <c r="D261" s="29"/>
      <c r="E261" s="26"/>
      <c r="F261" s="28"/>
      <c r="G261" s="29"/>
      <c r="H261" s="29"/>
      <c r="I261" s="29"/>
    </row>
    <row r="262" spans="1:9">
      <c r="A262">
        <v>2022</v>
      </c>
      <c r="B262" s="10" t="s">
        <v>190</v>
      </c>
      <c r="C262" s="23">
        <v>3702484</v>
      </c>
      <c r="D262" s="29"/>
      <c r="E262" s="26"/>
      <c r="F262" s="28"/>
      <c r="G262" s="29"/>
      <c r="H262" s="29"/>
      <c r="I262" s="29"/>
    </row>
    <row r="263" spans="1:9">
      <c r="A263">
        <v>2022</v>
      </c>
      <c r="B263" s="10" t="s">
        <v>191</v>
      </c>
      <c r="C263" s="23">
        <v>270631</v>
      </c>
      <c r="D263" s="29"/>
      <c r="E263" s="26"/>
      <c r="F263" s="28"/>
      <c r="G263" s="29"/>
      <c r="H263" s="29"/>
      <c r="I263" s="29"/>
    </row>
    <row r="264" spans="1:9">
      <c r="A264">
        <v>2022</v>
      </c>
      <c r="B264" s="10" t="s">
        <v>192</v>
      </c>
      <c r="C264" s="10">
        <v>0</v>
      </c>
      <c r="D264" s="26"/>
      <c r="E264" s="26"/>
      <c r="F264" s="28"/>
      <c r="G264" s="26"/>
      <c r="H264" s="29"/>
      <c r="I264" s="29"/>
    </row>
    <row r="265" spans="1:9">
      <c r="A265">
        <v>2022</v>
      </c>
      <c r="B265" s="10" t="s">
        <v>193</v>
      </c>
      <c r="C265" s="10">
        <v>0</v>
      </c>
      <c r="D265" s="26"/>
      <c r="E265" s="26"/>
      <c r="F265" s="28"/>
      <c r="G265" s="26"/>
      <c r="H265" s="29"/>
      <c r="I265" s="29"/>
    </row>
    <row r="266" spans="1:9">
      <c r="A266">
        <v>2022</v>
      </c>
      <c r="B266" s="10" t="s">
        <v>194</v>
      </c>
      <c r="C266" s="10">
        <v>0</v>
      </c>
      <c r="D266" s="26"/>
      <c r="E266" s="26"/>
      <c r="F266" s="28"/>
      <c r="G266" s="26"/>
      <c r="H266" s="29"/>
      <c r="I266" s="29"/>
    </row>
    <row r="267" spans="1:9">
      <c r="A267">
        <v>2022</v>
      </c>
      <c r="B267" s="10" t="s">
        <v>220</v>
      </c>
      <c r="C267" s="10">
        <v>0</v>
      </c>
      <c r="D267" s="26"/>
      <c r="E267" s="26"/>
      <c r="F267" s="28"/>
      <c r="G267" s="26"/>
      <c r="H267" s="29"/>
      <c r="I267" s="29"/>
    </row>
    <row r="268" spans="1:9">
      <c r="A268">
        <v>2022</v>
      </c>
      <c r="B268" s="10" t="s">
        <v>195</v>
      </c>
      <c r="C268" s="10">
        <v>0</v>
      </c>
      <c r="D268" s="26"/>
      <c r="E268" s="26"/>
      <c r="F268" s="28"/>
      <c r="G268" s="26"/>
      <c r="H268" s="29"/>
      <c r="I268" s="29"/>
    </row>
    <row r="270" spans="1:9">
      <c r="B270" s="12" t="s">
        <v>297</v>
      </c>
      <c r="C270" s="21">
        <f>SUM(C2:C268)</f>
        <v>314663635</v>
      </c>
      <c r="D270" s="17"/>
    </row>
    <row r="271" spans="1:9">
      <c r="B271" s="12"/>
    </row>
    <row r="272" spans="1:9">
      <c r="B272" s="12" t="s">
        <v>296</v>
      </c>
      <c r="C272" s="21">
        <v>314663632</v>
      </c>
    </row>
    <row r="274" spans="2:3">
      <c r="B274" s="13" t="s">
        <v>295</v>
      </c>
      <c r="C274" s="31">
        <f>C270-C272</f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038F-006E-144E-B9D2-9233D179CA66}">
  <sheetPr>
    <tabColor rgb="FFFF0000"/>
  </sheetPr>
  <dimension ref="A1"/>
  <sheetViews>
    <sheetView topLeftCell="C1" workbookViewId="0">
      <selection activeCell="K20" sqref="K20"/>
    </sheetView>
  </sheetViews>
  <sheetFormatPr baseColWidth="10" defaultRowHeight="16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6128-A754-9846-B320-03105DC7F5AD}">
  <sheetPr>
    <tabColor rgb="FFFFFF00"/>
  </sheetPr>
  <dimension ref="A1:S27"/>
  <sheetViews>
    <sheetView workbookViewId="0">
      <selection activeCell="E14" sqref="E14"/>
    </sheetView>
  </sheetViews>
  <sheetFormatPr baseColWidth="10" defaultRowHeight="16"/>
  <sheetData>
    <row r="1" spans="1:19">
      <c r="A1" t="s">
        <v>358</v>
      </c>
      <c r="B1" t="s">
        <v>359</v>
      </c>
      <c r="C1" t="s">
        <v>360</v>
      </c>
      <c r="D1" t="s">
        <v>356</v>
      </c>
      <c r="E1" t="s">
        <v>361</v>
      </c>
      <c r="F1" t="s">
        <v>362</v>
      </c>
      <c r="G1" t="s">
        <v>363</v>
      </c>
      <c r="H1" t="s">
        <v>364</v>
      </c>
      <c r="I1" t="s">
        <v>365</v>
      </c>
      <c r="J1" t="s">
        <v>366</v>
      </c>
      <c r="K1" t="s">
        <v>367</v>
      </c>
      <c r="L1" t="s">
        <v>368</v>
      </c>
      <c r="M1" t="s">
        <v>369</v>
      </c>
      <c r="N1" t="s">
        <v>370</v>
      </c>
      <c r="O1" t="s">
        <v>371</v>
      </c>
      <c r="P1" t="s">
        <v>372</v>
      </c>
      <c r="Q1" t="s">
        <v>373</v>
      </c>
      <c r="R1" t="s">
        <v>374</v>
      </c>
      <c r="S1" t="s">
        <v>375</v>
      </c>
    </row>
    <row r="2" spans="1:19">
      <c r="A2">
        <v>5009570</v>
      </c>
      <c r="B2" t="s">
        <v>376</v>
      </c>
      <c r="C2" t="s">
        <v>377</v>
      </c>
      <c r="D2">
        <v>2015</v>
      </c>
      <c r="E2">
        <v>7145000</v>
      </c>
      <c r="F2">
        <v>5354000</v>
      </c>
      <c r="G2">
        <v>3417000</v>
      </c>
      <c r="H2">
        <v>3417000</v>
      </c>
      <c r="I2">
        <v>0</v>
      </c>
      <c r="J2">
        <v>0</v>
      </c>
      <c r="K2">
        <v>1806000</v>
      </c>
      <c r="L2">
        <v>428000</v>
      </c>
      <c r="M2">
        <v>100000</v>
      </c>
      <c r="N2">
        <v>21000</v>
      </c>
      <c r="O2">
        <v>393000</v>
      </c>
      <c r="P2">
        <v>506000</v>
      </c>
      <c r="Q2">
        <v>221000</v>
      </c>
      <c r="R2">
        <v>137000</v>
      </c>
      <c r="S2">
        <v>149000</v>
      </c>
    </row>
    <row r="3" spans="1:19">
      <c r="A3">
        <v>5009570</v>
      </c>
      <c r="B3" t="s">
        <v>376</v>
      </c>
      <c r="C3" t="s">
        <v>377</v>
      </c>
      <c r="D3">
        <v>2016</v>
      </c>
      <c r="E3">
        <v>5673000</v>
      </c>
      <c r="F3">
        <v>5400000</v>
      </c>
      <c r="G3">
        <v>3447000</v>
      </c>
      <c r="H3">
        <v>3447000</v>
      </c>
      <c r="I3">
        <v>0</v>
      </c>
      <c r="J3">
        <v>0</v>
      </c>
      <c r="K3">
        <v>1953000</v>
      </c>
      <c r="L3">
        <v>409000</v>
      </c>
      <c r="M3">
        <v>87000</v>
      </c>
      <c r="N3">
        <v>179000</v>
      </c>
      <c r="O3">
        <v>412000</v>
      </c>
      <c r="P3">
        <v>518000</v>
      </c>
      <c r="Q3">
        <v>270000</v>
      </c>
      <c r="R3">
        <v>78000</v>
      </c>
      <c r="S3">
        <v>165000</v>
      </c>
    </row>
    <row r="4" spans="1:19">
      <c r="A4">
        <v>5009570</v>
      </c>
      <c r="B4" t="s">
        <v>376</v>
      </c>
      <c r="C4" t="s">
        <v>377</v>
      </c>
      <c r="D4">
        <v>2017</v>
      </c>
      <c r="E4">
        <v>5712000</v>
      </c>
      <c r="F4">
        <v>4470000</v>
      </c>
      <c r="G4">
        <v>2860000</v>
      </c>
      <c r="H4">
        <v>2860000</v>
      </c>
      <c r="I4">
        <v>0</v>
      </c>
      <c r="J4">
        <v>0</v>
      </c>
      <c r="K4">
        <v>1445000</v>
      </c>
      <c r="L4">
        <v>313000</v>
      </c>
      <c r="M4">
        <v>107000</v>
      </c>
      <c r="N4">
        <v>17000</v>
      </c>
      <c r="O4">
        <v>387000</v>
      </c>
      <c r="P4">
        <v>534000</v>
      </c>
      <c r="Q4">
        <v>6000</v>
      </c>
      <c r="R4">
        <v>81000</v>
      </c>
      <c r="S4">
        <v>155000</v>
      </c>
    </row>
    <row r="5" spans="1:19">
      <c r="A5">
        <v>5009570</v>
      </c>
      <c r="B5" t="s">
        <v>376</v>
      </c>
      <c r="C5" t="s">
        <v>377</v>
      </c>
      <c r="D5">
        <v>2018</v>
      </c>
      <c r="E5">
        <v>5370000</v>
      </c>
      <c r="F5">
        <v>4440000</v>
      </c>
      <c r="G5">
        <v>2969000</v>
      </c>
      <c r="H5">
        <v>2969000</v>
      </c>
      <c r="I5">
        <v>0</v>
      </c>
      <c r="J5">
        <v>0</v>
      </c>
      <c r="K5">
        <v>1322000</v>
      </c>
      <c r="L5">
        <v>278000</v>
      </c>
      <c r="M5">
        <v>88000</v>
      </c>
      <c r="N5">
        <v>15000</v>
      </c>
      <c r="O5">
        <v>409000</v>
      </c>
      <c r="P5">
        <v>532000</v>
      </c>
      <c r="Q5">
        <v>0</v>
      </c>
      <c r="R5">
        <v>0</v>
      </c>
      <c r="S5">
        <v>131000</v>
      </c>
    </row>
    <row r="6" spans="1:19">
      <c r="A6">
        <v>5009570</v>
      </c>
      <c r="B6" t="s">
        <v>376</v>
      </c>
      <c r="C6" t="s">
        <v>377</v>
      </c>
      <c r="D6">
        <v>2019</v>
      </c>
      <c r="E6">
        <v>5177000</v>
      </c>
      <c r="F6">
        <v>4497000</v>
      </c>
      <c r="G6">
        <v>3058000</v>
      </c>
      <c r="H6">
        <v>3058000</v>
      </c>
      <c r="I6">
        <v>0</v>
      </c>
      <c r="J6">
        <v>0</v>
      </c>
      <c r="K6">
        <v>1286000</v>
      </c>
      <c r="L6">
        <v>218000</v>
      </c>
      <c r="M6">
        <v>93000</v>
      </c>
      <c r="N6">
        <v>17000</v>
      </c>
      <c r="O6">
        <v>416000</v>
      </c>
      <c r="P6">
        <v>542000</v>
      </c>
      <c r="Q6">
        <v>0</v>
      </c>
      <c r="R6">
        <v>0</v>
      </c>
      <c r="S6">
        <v>153000</v>
      </c>
    </row>
    <row r="7" spans="1:19">
      <c r="A7">
        <v>5009570</v>
      </c>
      <c r="B7" t="s">
        <v>376</v>
      </c>
      <c r="C7" t="s">
        <v>377</v>
      </c>
      <c r="D7">
        <v>2020</v>
      </c>
      <c r="E7">
        <v>5180000</v>
      </c>
      <c r="F7">
        <v>4356000</v>
      </c>
      <c r="G7">
        <v>2856000</v>
      </c>
      <c r="H7">
        <v>2856000</v>
      </c>
      <c r="I7">
        <v>0</v>
      </c>
      <c r="J7">
        <v>0</v>
      </c>
      <c r="K7">
        <v>1389000</v>
      </c>
      <c r="L7">
        <v>265000</v>
      </c>
      <c r="M7">
        <v>72000</v>
      </c>
      <c r="N7">
        <v>24000</v>
      </c>
      <c r="O7">
        <v>455000</v>
      </c>
      <c r="P7">
        <v>573000</v>
      </c>
      <c r="Q7">
        <v>0</v>
      </c>
      <c r="R7">
        <v>0</v>
      </c>
      <c r="S7">
        <v>111000</v>
      </c>
    </row>
    <row r="8" spans="1:19">
      <c r="A8">
        <v>5009570</v>
      </c>
      <c r="B8" t="s">
        <v>376</v>
      </c>
      <c r="C8" t="s">
        <v>377</v>
      </c>
      <c r="D8">
        <v>2021</v>
      </c>
      <c r="E8">
        <v>5462000</v>
      </c>
      <c r="F8">
        <v>4730000</v>
      </c>
      <c r="G8">
        <v>2878000</v>
      </c>
      <c r="H8">
        <v>2878000</v>
      </c>
      <c r="I8">
        <v>0</v>
      </c>
      <c r="J8">
        <v>0</v>
      </c>
      <c r="K8">
        <v>1697000</v>
      </c>
      <c r="L8">
        <v>208000</v>
      </c>
      <c r="M8">
        <v>52000</v>
      </c>
      <c r="N8">
        <v>180000</v>
      </c>
      <c r="O8">
        <v>444000</v>
      </c>
      <c r="P8">
        <v>634000</v>
      </c>
      <c r="Q8">
        <v>5000</v>
      </c>
      <c r="R8">
        <v>174000</v>
      </c>
      <c r="S8">
        <v>150000</v>
      </c>
    </row>
    <row r="9" spans="1:19">
      <c r="A9">
        <v>5009570</v>
      </c>
      <c r="B9" t="s">
        <v>376</v>
      </c>
      <c r="C9" t="s">
        <v>377</v>
      </c>
      <c r="D9">
        <v>2022</v>
      </c>
      <c r="E9">
        <v>5954000</v>
      </c>
      <c r="F9">
        <v>5113000</v>
      </c>
      <c r="G9">
        <v>3334000</v>
      </c>
      <c r="H9">
        <v>3334000</v>
      </c>
      <c r="I9">
        <v>0</v>
      </c>
      <c r="J9">
        <v>0</v>
      </c>
      <c r="K9">
        <v>1629000</v>
      </c>
      <c r="L9">
        <v>347000</v>
      </c>
      <c r="M9">
        <v>118000</v>
      </c>
      <c r="N9">
        <v>20000</v>
      </c>
      <c r="O9">
        <v>485000</v>
      </c>
      <c r="P9">
        <v>654000</v>
      </c>
      <c r="Q9">
        <v>5000</v>
      </c>
      <c r="R9">
        <v>0</v>
      </c>
      <c r="S9">
        <v>0</v>
      </c>
    </row>
    <row r="10" spans="1:19">
      <c r="A10">
        <v>5009600</v>
      </c>
      <c r="B10" t="s">
        <v>378</v>
      </c>
      <c r="C10" t="s">
        <v>377</v>
      </c>
      <c r="D10">
        <v>2015</v>
      </c>
      <c r="E10">
        <v>20203000</v>
      </c>
      <c r="F10">
        <v>16362000</v>
      </c>
      <c r="G10">
        <v>10637000</v>
      </c>
      <c r="H10">
        <v>10637000</v>
      </c>
      <c r="I10">
        <v>0</v>
      </c>
      <c r="J10">
        <v>0</v>
      </c>
      <c r="K10">
        <v>5206000</v>
      </c>
      <c r="L10">
        <v>789000</v>
      </c>
      <c r="M10">
        <v>379000</v>
      </c>
      <c r="N10">
        <v>85000</v>
      </c>
      <c r="O10">
        <v>1410000</v>
      </c>
      <c r="P10">
        <v>1407000</v>
      </c>
      <c r="Q10">
        <v>817000</v>
      </c>
      <c r="R10">
        <v>319000</v>
      </c>
      <c r="S10">
        <v>440000</v>
      </c>
    </row>
    <row r="11" spans="1:19">
      <c r="A11">
        <v>5009600</v>
      </c>
      <c r="B11" t="s">
        <v>378</v>
      </c>
      <c r="C11" t="s">
        <v>377</v>
      </c>
      <c r="D11">
        <v>2016</v>
      </c>
      <c r="E11">
        <v>19999000</v>
      </c>
      <c r="F11">
        <v>15386000</v>
      </c>
      <c r="G11">
        <v>9623000</v>
      </c>
      <c r="H11">
        <v>9623000</v>
      </c>
      <c r="I11">
        <v>0</v>
      </c>
      <c r="J11">
        <v>0</v>
      </c>
      <c r="K11">
        <v>5323000</v>
      </c>
      <c r="L11">
        <v>912000</v>
      </c>
      <c r="M11">
        <v>335000</v>
      </c>
      <c r="N11">
        <v>58000</v>
      </c>
      <c r="O11">
        <v>1462000</v>
      </c>
      <c r="P11">
        <v>1390000</v>
      </c>
      <c r="Q11">
        <v>857000</v>
      </c>
      <c r="R11">
        <v>309000</v>
      </c>
      <c r="S11">
        <v>204000</v>
      </c>
    </row>
    <row r="12" spans="1:19">
      <c r="A12">
        <v>5009600</v>
      </c>
      <c r="B12" t="s">
        <v>378</v>
      </c>
      <c r="C12" t="s">
        <v>377</v>
      </c>
      <c r="D12">
        <v>2017</v>
      </c>
      <c r="E12">
        <v>19234000</v>
      </c>
      <c r="F12">
        <v>13113000</v>
      </c>
      <c r="G12">
        <v>8408000</v>
      </c>
      <c r="H12">
        <v>8408000</v>
      </c>
      <c r="I12">
        <v>0</v>
      </c>
      <c r="J12">
        <v>0</v>
      </c>
      <c r="K12">
        <v>4283000</v>
      </c>
      <c r="L12">
        <v>730000</v>
      </c>
      <c r="M12">
        <v>492000</v>
      </c>
      <c r="N12">
        <v>48000</v>
      </c>
      <c r="O12">
        <v>1419000</v>
      </c>
      <c r="P12">
        <v>1272000</v>
      </c>
      <c r="Q12">
        <v>4000</v>
      </c>
      <c r="R12">
        <v>318000</v>
      </c>
      <c r="S12">
        <v>422000</v>
      </c>
    </row>
    <row r="13" spans="1:19">
      <c r="A13">
        <v>5009600</v>
      </c>
      <c r="B13" t="s">
        <v>378</v>
      </c>
      <c r="C13" t="s">
        <v>377</v>
      </c>
      <c r="D13">
        <v>2018</v>
      </c>
      <c r="E13">
        <v>17874000</v>
      </c>
      <c r="F13">
        <v>12245000</v>
      </c>
      <c r="G13">
        <v>7815000</v>
      </c>
      <c r="H13">
        <v>7815000</v>
      </c>
      <c r="I13">
        <v>0</v>
      </c>
      <c r="J13">
        <v>0</v>
      </c>
      <c r="K13">
        <v>4036000</v>
      </c>
      <c r="L13">
        <v>823000</v>
      </c>
      <c r="M13">
        <v>432000</v>
      </c>
      <c r="N13">
        <v>44000</v>
      </c>
      <c r="O13">
        <v>1367000</v>
      </c>
      <c r="P13">
        <v>1252000</v>
      </c>
      <c r="Q13">
        <v>1000</v>
      </c>
      <c r="R13">
        <v>117000</v>
      </c>
      <c r="S13">
        <v>252000</v>
      </c>
    </row>
    <row r="14" spans="1:19">
      <c r="A14">
        <v>5009600</v>
      </c>
      <c r="B14" t="s">
        <v>378</v>
      </c>
      <c r="C14" t="s">
        <v>377</v>
      </c>
      <c r="D14">
        <v>2019</v>
      </c>
      <c r="E14">
        <v>17589000</v>
      </c>
      <c r="F14">
        <v>12320000</v>
      </c>
      <c r="G14">
        <v>7616000</v>
      </c>
      <c r="H14">
        <v>7616000</v>
      </c>
      <c r="I14">
        <v>0</v>
      </c>
      <c r="J14">
        <v>0</v>
      </c>
      <c r="K14">
        <v>4331000</v>
      </c>
      <c r="L14">
        <v>989000</v>
      </c>
      <c r="M14">
        <v>435000</v>
      </c>
      <c r="N14">
        <v>48000</v>
      </c>
      <c r="O14">
        <v>1417000</v>
      </c>
      <c r="P14">
        <v>1335000</v>
      </c>
      <c r="Q14">
        <v>0</v>
      </c>
      <c r="R14">
        <v>107000</v>
      </c>
      <c r="S14">
        <v>373000</v>
      </c>
    </row>
    <row r="15" spans="1:19">
      <c r="A15">
        <v>5009600</v>
      </c>
      <c r="B15" t="s">
        <v>378</v>
      </c>
      <c r="C15" t="s">
        <v>377</v>
      </c>
      <c r="D15">
        <v>2020</v>
      </c>
      <c r="E15">
        <v>18353000</v>
      </c>
      <c r="F15">
        <v>13400000</v>
      </c>
      <c r="G15">
        <v>8530000</v>
      </c>
      <c r="H15">
        <v>8530000</v>
      </c>
      <c r="I15">
        <v>0</v>
      </c>
      <c r="J15">
        <v>0</v>
      </c>
      <c r="K15">
        <v>4618000</v>
      </c>
      <c r="L15">
        <v>983000</v>
      </c>
      <c r="M15">
        <v>792000</v>
      </c>
      <c r="N15">
        <v>69000</v>
      </c>
      <c r="O15">
        <v>1283000</v>
      </c>
      <c r="P15">
        <v>1367000</v>
      </c>
      <c r="Q15">
        <v>31000</v>
      </c>
      <c r="R15">
        <v>93000</v>
      </c>
      <c r="S15">
        <v>394000</v>
      </c>
    </row>
    <row r="16" spans="1:19">
      <c r="A16">
        <v>5009600</v>
      </c>
      <c r="B16" t="s">
        <v>378</v>
      </c>
      <c r="C16" t="s">
        <v>377</v>
      </c>
      <c r="D16">
        <v>2021</v>
      </c>
      <c r="E16">
        <v>18132000</v>
      </c>
      <c r="F16">
        <v>13887000</v>
      </c>
      <c r="G16">
        <v>8622000</v>
      </c>
      <c r="H16">
        <v>8622000</v>
      </c>
      <c r="I16">
        <v>0</v>
      </c>
      <c r="J16">
        <v>0</v>
      </c>
      <c r="K16">
        <v>5061000</v>
      </c>
      <c r="L16">
        <v>1175000</v>
      </c>
      <c r="M16">
        <v>558000</v>
      </c>
      <c r="N16">
        <v>76000</v>
      </c>
      <c r="O16">
        <v>1601000</v>
      </c>
      <c r="P16">
        <v>1543000</v>
      </c>
      <c r="Q16">
        <v>12000</v>
      </c>
      <c r="R16">
        <v>96000</v>
      </c>
      <c r="S16">
        <v>519000</v>
      </c>
    </row>
    <row r="17" spans="1:19">
      <c r="A17">
        <v>5009600</v>
      </c>
      <c r="B17" t="s">
        <v>378</v>
      </c>
      <c r="C17" t="s">
        <v>377</v>
      </c>
      <c r="D17">
        <v>2022</v>
      </c>
      <c r="E17">
        <v>20866000</v>
      </c>
      <c r="F17">
        <v>15586000</v>
      </c>
      <c r="G17">
        <v>9187000</v>
      </c>
      <c r="H17">
        <v>9187000</v>
      </c>
      <c r="I17">
        <v>0</v>
      </c>
      <c r="J17">
        <v>0</v>
      </c>
      <c r="K17">
        <v>6073000</v>
      </c>
      <c r="L17">
        <v>1488000</v>
      </c>
      <c r="M17">
        <v>745000</v>
      </c>
      <c r="N17">
        <v>69000</v>
      </c>
      <c r="O17">
        <v>1693000</v>
      </c>
      <c r="P17">
        <v>1670000</v>
      </c>
      <c r="Q17">
        <v>90000</v>
      </c>
      <c r="R17">
        <v>318000</v>
      </c>
      <c r="S17">
        <v>326000</v>
      </c>
    </row>
    <row r="19" spans="1:19">
      <c r="A19" t="s">
        <v>358</v>
      </c>
      <c r="B19" t="s">
        <v>359</v>
      </c>
      <c r="C19" t="s">
        <v>360</v>
      </c>
      <c r="D19" t="s">
        <v>356</v>
      </c>
      <c r="E19" t="s">
        <v>361</v>
      </c>
      <c r="F19" t="s">
        <v>362</v>
      </c>
      <c r="G19" t="s">
        <v>363</v>
      </c>
      <c r="H19" t="s">
        <v>364</v>
      </c>
      <c r="I19" t="s">
        <v>365</v>
      </c>
      <c r="J19" t="s">
        <v>366</v>
      </c>
      <c r="K19" t="s">
        <v>367</v>
      </c>
      <c r="L19" t="s">
        <v>368</v>
      </c>
      <c r="M19" t="s">
        <v>369</v>
      </c>
      <c r="N19" t="s">
        <v>370</v>
      </c>
      <c r="O19" t="s">
        <v>371</v>
      </c>
      <c r="P19" t="s">
        <v>372</v>
      </c>
      <c r="Q19" t="s">
        <v>373</v>
      </c>
      <c r="R19" t="s">
        <v>374</v>
      </c>
      <c r="S19" t="s">
        <v>375</v>
      </c>
    </row>
    <row r="20" spans="1:19">
      <c r="A20">
        <v>5009600</v>
      </c>
      <c r="B20" t="s">
        <v>378</v>
      </c>
      <c r="C20" t="s">
        <v>377</v>
      </c>
      <c r="D20">
        <v>2015</v>
      </c>
      <c r="E20">
        <v>27348000</v>
      </c>
      <c r="F20">
        <v>21716000</v>
      </c>
      <c r="G20">
        <v>14054000</v>
      </c>
      <c r="H20">
        <v>14054000</v>
      </c>
      <c r="I20">
        <v>0</v>
      </c>
      <c r="J20">
        <v>0</v>
      </c>
      <c r="K20">
        <v>7012000</v>
      </c>
      <c r="L20">
        <v>1217000</v>
      </c>
      <c r="M20">
        <v>479000</v>
      </c>
      <c r="N20">
        <v>106000</v>
      </c>
      <c r="O20">
        <v>1803000</v>
      </c>
      <c r="P20">
        <v>1913000</v>
      </c>
      <c r="Q20">
        <v>1038000</v>
      </c>
      <c r="R20">
        <v>456000</v>
      </c>
      <c r="S20">
        <v>589000</v>
      </c>
    </row>
    <row r="21" spans="1:19">
      <c r="A21">
        <v>5009600</v>
      </c>
      <c r="B21" t="s">
        <v>378</v>
      </c>
      <c r="C21" t="s">
        <v>377</v>
      </c>
      <c r="D21">
        <v>2016</v>
      </c>
      <c r="E21">
        <v>25672000</v>
      </c>
      <c r="F21">
        <v>20786000</v>
      </c>
      <c r="G21">
        <v>13070000</v>
      </c>
      <c r="H21">
        <v>13070000</v>
      </c>
      <c r="I21">
        <v>0</v>
      </c>
      <c r="J21">
        <v>0</v>
      </c>
      <c r="K21">
        <v>7276000</v>
      </c>
      <c r="L21">
        <v>1321000</v>
      </c>
      <c r="M21">
        <v>422000</v>
      </c>
      <c r="N21">
        <v>237000</v>
      </c>
      <c r="O21">
        <v>1874000</v>
      </c>
      <c r="P21">
        <v>1908000</v>
      </c>
      <c r="Q21">
        <v>1127000</v>
      </c>
      <c r="R21">
        <v>387000</v>
      </c>
      <c r="S21">
        <v>369000</v>
      </c>
    </row>
    <row r="22" spans="1:19">
      <c r="A22">
        <v>5009600</v>
      </c>
      <c r="B22" t="s">
        <v>378</v>
      </c>
      <c r="C22" t="s">
        <v>377</v>
      </c>
      <c r="D22">
        <v>2017</v>
      </c>
      <c r="E22">
        <v>24946000</v>
      </c>
      <c r="F22">
        <v>17583000</v>
      </c>
      <c r="G22">
        <v>11268000</v>
      </c>
      <c r="H22">
        <v>11268000</v>
      </c>
      <c r="I22">
        <v>0</v>
      </c>
      <c r="J22">
        <v>0</v>
      </c>
      <c r="K22">
        <v>5728000</v>
      </c>
      <c r="L22">
        <v>1043000</v>
      </c>
      <c r="M22">
        <v>599000</v>
      </c>
      <c r="N22">
        <v>65000</v>
      </c>
      <c r="O22">
        <v>1806000</v>
      </c>
      <c r="P22">
        <v>1806000</v>
      </c>
      <c r="Q22">
        <v>10000</v>
      </c>
      <c r="R22">
        <v>399000</v>
      </c>
      <c r="S22">
        <v>577000</v>
      </c>
    </row>
    <row r="23" spans="1:19">
      <c r="A23">
        <v>5009600</v>
      </c>
      <c r="B23" t="s">
        <v>378</v>
      </c>
      <c r="C23" t="s">
        <v>377</v>
      </c>
      <c r="D23">
        <v>2018</v>
      </c>
      <c r="E23">
        <v>23244000</v>
      </c>
      <c r="F23">
        <v>16685000</v>
      </c>
      <c r="G23">
        <v>10784000</v>
      </c>
      <c r="H23">
        <v>10784000</v>
      </c>
      <c r="I23">
        <v>0</v>
      </c>
      <c r="J23">
        <v>0</v>
      </c>
      <c r="K23">
        <v>5358000</v>
      </c>
      <c r="L23">
        <v>1101000</v>
      </c>
      <c r="M23">
        <v>520000</v>
      </c>
      <c r="N23">
        <v>59000</v>
      </c>
      <c r="O23">
        <v>1776000</v>
      </c>
      <c r="P23">
        <v>1784000</v>
      </c>
      <c r="Q23">
        <v>1000</v>
      </c>
      <c r="R23">
        <v>117000</v>
      </c>
      <c r="S23">
        <v>383000</v>
      </c>
    </row>
    <row r="24" spans="1:19">
      <c r="A24">
        <v>5009600</v>
      </c>
      <c r="B24" t="s">
        <v>378</v>
      </c>
      <c r="C24" t="s">
        <v>377</v>
      </c>
      <c r="D24">
        <v>2019</v>
      </c>
      <c r="E24">
        <v>22766000</v>
      </c>
      <c r="F24">
        <v>16817000</v>
      </c>
      <c r="G24">
        <v>10674000</v>
      </c>
      <c r="H24">
        <v>10674000</v>
      </c>
      <c r="I24">
        <v>0</v>
      </c>
      <c r="J24">
        <v>0</v>
      </c>
      <c r="K24">
        <v>5617000</v>
      </c>
      <c r="L24">
        <v>1207000</v>
      </c>
      <c r="M24">
        <v>528000</v>
      </c>
      <c r="N24">
        <v>65000</v>
      </c>
      <c r="O24">
        <v>1833000</v>
      </c>
      <c r="P24">
        <v>1877000</v>
      </c>
      <c r="Q24">
        <v>0</v>
      </c>
      <c r="R24">
        <v>107000</v>
      </c>
      <c r="S24">
        <v>526000</v>
      </c>
    </row>
    <row r="25" spans="1:19">
      <c r="A25">
        <v>5009600</v>
      </c>
      <c r="B25" t="s">
        <v>378</v>
      </c>
      <c r="C25" t="s">
        <v>377</v>
      </c>
      <c r="D25">
        <v>2020</v>
      </c>
      <c r="E25">
        <v>23533000</v>
      </c>
      <c r="F25">
        <v>17756000</v>
      </c>
      <c r="G25">
        <v>11386000</v>
      </c>
      <c r="H25">
        <v>11386000</v>
      </c>
      <c r="I25">
        <v>0</v>
      </c>
      <c r="J25">
        <v>0</v>
      </c>
      <c r="K25">
        <v>6007000</v>
      </c>
      <c r="L25">
        <v>1248000</v>
      </c>
      <c r="M25">
        <v>864000</v>
      </c>
      <c r="N25">
        <v>93000</v>
      </c>
      <c r="O25">
        <v>1738000</v>
      </c>
      <c r="P25">
        <v>1940000</v>
      </c>
      <c r="Q25">
        <v>31000</v>
      </c>
      <c r="R25">
        <v>93000</v>
      </c>
      <c r="S25">
        <v>505000</v>
      </c>
    </row>
    <row r="26" spans="1:19">
      <c r="A26">
        <v>5009600</v>
      </c>
      <c r="B26" t="s">
        <v>378</v>
      </c>
      <c r="C26" t="s">
        <v>377</v>
      </c>
      <c r="D26">
        <v>2021</v>
      </c>
      <c r="E26">
        <v>23594000</v>
      </c>
      <c r="F26">
        <v>18617000</v>
      </c>
      <c r="G26">
        <v>11500000</v>
      </c>
      <c r="H26">
        <v>11500000</v>
      </c>
      <c r="I26">
        <v>0</v>
      </c>
      <c r="J26">
        <v>0</v>
      </c>
      <c r="K26">
        <v>6758000</v>
      </c>
      <c r="L26">
        <v>1383000</v>
      </c>
      <c r="M26">
        <v>610000</v>
      </c>
      <c r="N26">
        <v>256000</v>
      </c>
      <c r="O26">
        <v>2045000</v>
      </c>
      <c r="P26">
        <v>2177000</v>
      </c>
      <c r="Q26">
        <v>17000</v>
      </c>
      <c r="R26">
        <v>270000</v>
      </c>
      <c r="S26">
        <v>669000</v>
      </c>
    </row>
    <row r="27" spans="1:19">
      <c r="A27">
        <v>5009600</v>
      </c>
      <c r="B27" t="s">
        <v>378</v>
      </c>
      <c r="C27" t="s">
        <v>377</v>
      </c>
      <c r="D27">
        <v>2022</v>
      </c>
      <c r="E27">
        <v>26820000</v>
      </c>
      <c r="F27">
        <v>20699000</v>
      </c>
      <c r="G27">
        <v>12521000</v>
      </c>
      <c r="H27">
        <v>12521000</v>
      </c>
      <c r="I27">
        <v>0</v>
      </c>
      <c r="J27">
        <v>0</v>
      </c>
      <c r="K27">
        <v>7702000</v>
      </c>
      <c r="L27">
        <v>1835000</v>
      </c>
      <c r="M27">
        <v>863000</v>
      </c>
      <c r="N27">
        <v>89000</v>
      </c>
      <c r="O27">
        <v>2178000</v>
      </c>
      <c r="P27">
        <v>2324000</v>
      </c>
      <c r="Q27">
        <v>95000</v>
      </c>
      <c r="R27">
        <v>318000</v>
      </c>
      <c r="S27">
        <v>326000</v>
      </c>
    </row>
  </sheetData>
  <autoFilter ref="A1:GN1" xr:uid="{1B156128-A754-9846-B320-03105DC7F5AD}">
    <sortState xmlns:xlrd2="http://schemas.microsoft.com/office/spreadsheetml/2017/richdata2" ref="A2:GN17">
      <sortCondition ref="A1:A17"/>
    </sortState>
  </autoFilter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446C-6A9D-674C-A7BF-50E911EBFA9E}">
  <sheetPr>
    <tabColor rgb="FFFFFF00"/>
  </sheetPr>
  <dimension ref="A1:C214"/>
  <sheetViews>
    <sheetView topLeftCell="A87" workbookViewId="0">
      <selection activeCell="D111" sqref="D111"/>
    </sheetView>
  </sheetViews>
  <sheetFormatPr baseColWidth="10" defaultRowHeight="16"/>
  <cols>
    <col min="1" max="1" width="26.1640625" style="32" bestFit="1" customWidth="1"/>
    <col min="2" max="2" width="10.83203125" style="32"/>
  </cols>
  <sheetData>
    <row r="1" spans="1:2">
      <c r="A1" s="32" t="s">
        <v>357</v>
      </c>
      <c r="B1" s="32" t="s">
        <v>358</v>
      </c>
    </row>
    <row r="2" spans="1:2">
      <c r="A2" s="33" t="s">
        <v>210</v>
      </c>
      <c r="B2" s="32">
        <v>5099901</v>
      </c>
    </row>
    <row r="3" spans="1:2">
      <c r="A3" s="33" t="s">
        <v>232</v>
      </c>
      <c r="B3" s="32">
        <v>5099904</v>
      </c>
    </row>
    <row r="4" spans="1:2">
      <c r="A4" s="33" t="s">
        <v>0</v>
      </c>
      <c r="B4" s="32">
        <v>5001710</v>
      </c>
    </row>
    <row r="5" spans="1:2">
      <c r="A5" s="33" t="s">
        <v>1</v>
      </c>
      <c r="B5" s="32">
        <v>5001740</v>
      </c>
    </row>
    <row r="6" spans="1:2">
      <c r="A6" s="33" t="s">
        <v>2</v>
      </c>
      <c r="B6" s="32">
        <v>5001770</v>
      </c>
    </row>
    <row r="7" spans="1:2">
      <c r="A7" s="33" t="s">
        <v>3</v>
      </c>
      <c r="B7" s="32">
        <v>5001830</v>
      </c>
    </row>
    <row r="8" spans="1:2">
      <c r="A8" s="33" t="s">
        <v>4</v>
      </c>
      <c r="B8" s="32">
        <v>5001890</v>
      </c>
    </row>
    <row r="9" spans="1:2">
      <c r="A9" s="33" t="s">
        <v>5</v>
      </c>
      <c r="B9" s="32">
        <v>5001950</v>
      </c>
    </row>
    <row r="10" spans="1:2">
      <c r="A10" s="33" t="s">
        <v>6</v>
      </c>
      <c r="B10" s="32">
        <v>5001980</v>
      </c>
    </row>
    <row r="11" spans="1:2">
      <c r="A11" s="33" t="s">
        <v>7</v>
      </c>
      <c r="B11" s="32">
        <v>5002010</v>
      </c>
    </row>
    <row r="12" spans="1:2">
      <c r="A12" s="33" t="s">
        <v>285</v>
      </c>
      <c r="B12" s="32">
        <v>5000007</v>
      </c>
    </row>
    <row r="13" spans="1:2">
      <c r="A13" s="33" t="s">
        <v>8</v>
      </c>
      <c r="B13" s="32">
        <v>5002040</v>
      </c>
    </row>
    <row r="14" spans="1:2">
      <c r="A14" s="33" t="s">
        <v>9</v>
      </c>
      <c r="B14" s="32">
        <v>5002070</v>
      </c>
    </row>
    <row r="15" spans="1:2">
      <c r="A15" s="33" t="s">
        <v>10</v>
      </c>
      <c r="B15" s="32">
        <v>5002130</v>
      </c>
    </row>
    <row r="16" spans="1:2">
      <c r="A16" s="33" t="s">
        <v>223</v>
      </c>
      <c r="B16" s="32">
        <v>5099906</v>
      </c>
    </row>
    <row r="17" spans="1:2">
      <c r="A17" s="33" t="s">
        <v>11</v>
      </c>
      <c r="B17" s="32">
        <v>5002160</v>
      </c>
    </row>
    <row r="18" spans="1:2">
      <c r="A18" s="33" t="s">
        <v>12</v>
      </c>
      <c r="B18" s="32">
        <v>5002190</v>
      </c>
    </row>
    <row r="19" spans="1:2">
      <c r="A19" s="33" t="s">
        <v>13</v>
      </c>
      <c r="B19" s="32">
        <v>5002220</v>
      </c>
    </row>
    <row r="20" spans="1:2">
      <c r="A20" s="33" t="s">
        <v>14</v>
      </c>
      <c r="B20" s="32">
        <v>5002250</v>
      </c>
    </row>
    <row r="21" spans="1:2">
      <c r="A21" s="33" t="s">
        <v>264</v>
      </c>
      <c r="B21" s="32">
        <v>5008224</v>
      </c>
    </row>
    <row r="22" spans="1:2">
      <c r="A22" s="33" t="s">
        <v>16</v>
      </c>
      <c r="B22" s="32">
        <v>5002340</v>
      </c>
    </row>
    <row r="23" spans="1:2">
      <c r="A23" s="33" t="s">
        <v>19</v>
      </c>
      <c r="B23" s="32">
        <v>5002490</v>
      </c>
    </row>
    <row r="24" spans="1:2">
      <c r="A24" s="33" t="s">
        <v>219</v>
      </c>
      <c r="B24" s="32">
        <v>5002520</v>
      </c>
    </row>
    <row r="25" spans="1:2">
      <c r="A25" s="33" t="s">
        <v>22</v>
      </c>
      <c r="B25" s="32">
        <v>5002610</v>
      </c>
    </row>
    <row r="26" spans="1:2">
      <c r="A26" s="33" t="s">
        <v>23</v>
      </c>
      <c r="B26" s="32">
        <v>5002640</v>
      </c>
    </row>
    <row r="27" spans="1:2">
      <c r="A27" s="33" t="s">
        <v>25</v>
      </c>
      <c r="B27" s="32">
        <v>5002730</v>
      </c>
    </row>
    <row r="28" spans="1:2">
      <c r="A28" s="33" t="s">
        <v>26</v>
      </c>
      <c r="B28" s="32">
        <v>5002790</v>
      </c>
    </row>
    <row r="29" spans="1:2">
      <c r="A29" s="33" t="s">
        <v>27</v>
      </c>
      <c r="B29" s="32">
        <v>5002820</v>
      </c>
    </row>
    <row r="30" spans="1:2">
      <c r="A30" s="33" t="s">
        <v>197</v>
      </c>
    </row>
    <row r="31" spans="1:2">
      <c r="A31" s="33" t="s">
        <v>28</v>
      </c>
      <c r="B31" s="32">
        <v>5002850</v>
      </c>
    </row>
    <row r="32" spans="1:2">
      <c r="A32" s="33" t="s">
        <v>29</v>
      </c>
      <c r="B32" s="32">
        <v>5002880</v>
      </c>
    </row>
    <row r="33" spans="1:2">
      <c r="A33" s="33" t="s">
        <v>241</v>
      </c>
      <c r="B33" s="32">
        <v>5099909</v>
      </c>
    </row>
    <row r="34" spans="1:2">
      <c r="A34" s="33" t="s">
        <v>252</v>
      </c>
      <c r="B34" s="32">
        <v>5099908</v>
      </c>
    </row>
    <row r="35" spans="1:2">
      <c r="A35" s="33" t="s">
        <v>30</v>
      </c>
      <c r="B35" s="32">
        <v>5002910</v>
      </c>
    </row>
    <row r="36" spans="1:2">
      <c r="A36" s="33" t="s">
        <v>31</v>
      </c>
      <c r="B36" s="32">
        <v>5002940</v>
      </c>
    </row>
    <row r="37" spans="1:2">
      <c r="A37" s="33" t="s">
        <v>32</v>
      </c>
      <c r="B37" s="32">
        <v>5000001</v>
      </c>
    </row>
    <row r="38" spans="1:2">
      <c r="A38" s="33" t="s">
        <v>33</v>
      </c>
      <c r="B38" s="32">
        <v>5003010</v>
      </c>
    </row>
    <row r="39" spans="1:2">
      <c r="A39" s="33" t="s">
        <v>34</v>
      </c>
      <c r="B39" s="32">
        <v>5003060</v>
      </c>
    </row>
    <row r="40" spans="1:2">
      <c r="A40" s="33" t="s">
        <v>36</v>
      </c>
      <c r="B40" s="32">
        <v>5003120</v>
      </c>
    </row>
    <row r="41" spans="1:2">
      <c r="A41" s="33" t="s">
        <v>234</v>
      </c>
    </row>
    <row r="42" spans="1:2">
      <c r="A42" s="33" t="s">
        <v>38</v>
      </c>
      <c r="B42" s="32">
        <v>5003240</v>
      </c>
    </row>
    <row r="43" spans="1:2">
      <c r="A43" s="33" t="s">
        <v>39</v>
      </c>
      <c r="B43" s="32">
        <v>5003270</v>
      </c>
    </row>
    <row r="44" spans="1:2">
      <c r="A44" s="33" t="s">
        <v>41</v>
      </c>
      <c r="B44" s="32">
        <v>5003360</v>
      </c>
    </row>
    <row r="45" spans="1:2">
      <c r="A45" s="33" t="s">
        <v>42</v>
      </c>
      <c r="B45" s="32">
        <v>5003390</v>
      </c>
    </row>
    <row r="46" spans="1:2">
      <c r="A46" s="33" t="s">
        <v>43</v>
      </c>
      <c r="B46" s="32">
        <v>5003450</v>
      </c>
    </row>
    <row r="47" spans="1:2">
      <c r="A47" s="33" t="s">
        <v>201</v>
      </c>
    </row>
    <row r="48" spans="1:2">
      <c r="A48" s="33" t="s">
        <v>202</v>
      </c>
    </row>
    <row r="49" spans="1:2">
      <c r="A49" s="33" t="s">
        <v>44</v>
      </c>
      <c r="B49" s="32">
        <v>5003480</v>
      </c>
    </row>
    <row r="50" spans="1:2">
      <c r="A50" s="33" t="s">
        <v>45</v>
      </c>
      <c r="B50" s="32">
        <v>5003510</v>
      </c>
    </row>
    <row r="51" spans="1:2">
      <c r="A51" s="33" t="s">
        <v>46</v>
      </c>
      <c r="B51" s="32">
        <v>5003540</v>
      </c>
    </row>
    <row r="52" spans="1:2">
      <c r="A52" s="33" t="s">
        <v>47</v>
      </c>
      <c r="B52" s="32">
        <v>5003570</v>
      </c>
    </row>
    <row r="53" spans="1:2">
      <c r="A53" s="33" t="s">
        <v>48</v>
      </c>
      <c r="B53" s="32">
        <v>5003690</v>
      </c>
    </row>
    <row r="54" spans="1:2">
      <c r="A54" s="33" t="s">
        <v>51</v>
      </c>
      <c r="B54" s="32">
        <v>5003780</v>
      </c>
    </row>
    <row r="55" spans="1:2">
      <c r="A55" s="33" t="s">
        <v>240</v>
      </c>
      <c r="B55" s="32">
        <v>5099918</v>
      </c>
    </row>
    <row r="56" spans="1:2">
      <c r="A56" s="33" t="s">
        <v>54</v>
      </c>
      <c r="B56" s="32">
        <v>5003840</v>
      </c>
    </row>
    <row r="57" spans="1:2">
      <c r="A57" s="33" t="s">
        <v>55</v>
      </c>
      <c r="B57" s="32">
        <v>5003870</v>
      </c>
    </row>
    <row r="58" spans="1:2">
      <c r="A58" s="33" t="s">
        <v>228</v>
      </c>
      <c r="B58" s="32">
        <v>5003900</v>
      </c>
    </row>
    <row r="59" spans="1:2">
      <c r="A59" s="33" t="s">
        <v>56</v>
      </c>
      <c r="B59" s="32">
        <v>5003930</v>
      </c>
    </row>
    <row r="60" spans="1:2">
      <c r="A60" s="33" t="s">
        <v>60</v>
      </c>
      <c r="B60" s="32">
        <v>5004080</v>
      </c>
    </row>
    <row r="61" spans="1:2">
      <c r="A61" s="33" t="s">
        <v>237</v>
      </c>
      <c r="B61" s="32">
        <v>5099923</v>
      </c>
    </row>
    <row r="62" spans="1:2">
      <c r="A62" s="33" t="s">
        <v>235</v>
      </c>
      <c r="B62" s="32">
        <v>5099921</v>
      </c>
    </row>
    <row r="63" spans="1:2">
      <c r="A63" s="33" t="s">
        <v>61</v>
      </c>
      <c r="B63" s="32">
        <v>5004110</v>
      </c>
    </row>
    <row r="64" spans="1:2">
      <c r="A64" s="33" t="s">
        <v>253</v>
      </c>
      <c r="B64" s="32">
        <v>5099922</v>
      </c>
    </row>
    <row r="65" spans="1:2">
      <c r="A65" s="33" t="s">
        <v>62</v>
      </c>
      <c r="B65" s="32">
        <v>5004140</v>
      </c>
    </row>
    <row r="66" spans="1:2">
      <c r="A66" s="33" t="s">
        <v>63</v>
      </c>
      <c r="B66" s="32">
        <v>5004170</v>
      </c>
    </row>
    <row r="67" spans="1:2">
      <c r="A67" s="33" t="s">
        <v>64</v>
      </c>
      <c r="B67" s="32">
        <v>5004230</v>
      </c>
    </row>
    <row r="68" spans="1:2">
      <c r="A68" s="33" t="s">
        <v>65</v>
      </c>
      <c r="B68" s="32">
        <v>5004290</v>
      </c>
    </row>
    <row r="69" spans="1:2">
      <c r="A69" s="33" t="s">
        <v>208</v>
      </c>
      <c r="B69" s="32">
        <v>5099924</v>
      </c>
    </row>
    <row r="70" spans="1:2">
      <c r="A70" s="33" t="s">
        <v>265</v>
      </c>
      <c r="B70" s="32">
        <v>5008248</v>
      </c>
    </row>
    <row r="71" spans="1:2">
      <c r="A71" s="33" t="s">
        <v>68</v>
      </c>
      <c r="B71" s="32">
        <v>5004470</v>
      </c>
    </row>
    <row r="72" spans="1:2">
      <c r="A72" s="33" t="s">
        <v>69</v>
      </c>
      <c r="B72" s="32">
        <v>5004500</v>
      </c>
    </row>
    <row r="73" spans="1:2">
      <c r="A73" s="33" t="s">
        <v>289</v>
      </c>
    </row>
    <row r="74" spans="1:2">
      <c r="A74" s="33" t="s">
        <v>70</v>
      </c>
      <c r="B74" s="32">
        <v>5004560</v>
      </c>
    </row>
    <row r="75" spans="1:2">
      <c r="A75" s="33" t="s">
        <v>71</v>
      </c>
      <c r="B75" s="32">
        <v>5004590</v>
      </c>
    </row>
    <row r="76" spans="1:2">
      <c r="A76" s="33" t="s">
        <v>72</v>
      </c>
      <c r="B76" s="32">
        <v>5004620</v>
      </c>
    </row>
    <row r="77" spans="1:2">
      <c r="A77" s="33" t="s">
        <v>239</v>
      </c>
      <c r="B77" s="32">
        <v>5004580</v>
      </c>
    </row>
    <row r="78" spans="1:2">
      <c r="A78" s="33" t="s">
        <v>262</v>
      </c>
      <c r="B78" s="32">
        <v>5008243</v>
      </c>
    </row>
    <row r="79" spans="1:2">
      <c r="A79" s="33" t="s">
        <v>73</v>
      </c>
      <c r="B79" s="32">
        <v>5004650</v>
      </c>
    </row>
    <row r="80" spans="1:2">
      <c r="A80" s="33" t="s">
        <v>75</v>
      </c>
      <c r="B80" s="32">
        <v>5004710</v>
      </c>
    </row>
    <row r="81" spans="1:2">
      <c r="A81" s="33" t="s">
        <v>76</v>
      </c>
      <c r="B81" s="32">
        <v>5004770</v>
      </c>
    </row>
    <row r="82" spans="1:2">
      <c r="A82" s="33" t="s">
        <v>78</v>
      </c>
      <c r="B82" s="32">
        <v>5004860</v>
      </c>
    </row>
    <row r="83" spans="1:2">
      <c r="A83" s="33" t="s">
        <v>79</v>
      </c>
      <c r="B83" s="32">
        <v>5004890</v>
      </c>
    </row>
    <row r="84" spans="1:2">
      <c r="A84" s="33" t="s">
        <v>80</v>
      </c>
      <c r="B84" s="32">
        <v>5004920</v>
      </c>
    </row>
    <row r="85" spans="1:2">
      <c r="A85" s="33" t="s">
        <v>81</v>
      </c>
      <c r="B85" s="32">
        <v>5004960</v>
      </c>
    </row>
    <row r="86" spans="1:2">
      <c r="A86" s="33" t="s">
        <v>246</v>
      </c>
      <c r="B86" s="32">
        <v>5005050</v>
      </c>
    </row>
    <row r="87" spans="1:2">
      <c r="A87" s="33" t="s">
        <v>66</v>
      </c>
      <c r="B87" s="32">
        <v>5000003</v>
      </c>
    </row>
    <row r="88" spans="1:2">
      <c r="A88" s="33" t="s">
        <v>255</v>
      </c>
      <c r="B88" s="32">
        <v>5099925</v>
      </c>
    </row>
    <row r="89" spans="1:2">
      <c r="A89" s="33" t="s">
        <v>243</v>
      </c>
      <c r="B89" s="32">
        <v>5099926</v>
      </c>
    </row>
    <row r="90" spans="1:2">
      <c r="A90" s="33" t="s">
        <v>261</v>
      </c>
      <c r="B90" s="32">
        <v>5005120</v>
      </c>
    </row>
    <row r="91" spans="1:2">
      <c r="A91" s="33" t="s">
        <v>85</v>
      </c>
      <c r="B91" s="32">
        <v>5005160</v>
      </c>
    </row>
    <row r="92" spans="1:2">
      <c r="A92" s="33" t="s">
        <v>86</v>
      </c>
      <c r="B92" s="32">
        <v>5005220</v>
      </c>
    </row>
    <row r="93" spans="1:2">
      <c r="A93" s="33" t="s">
        <v>87</v>
      </c>
      <c r="B93" s="32">
        <v>5005250</v>
      </c>
    </row>
    <row r="94" spans="1:2">
      <c r="A94" s="33" t="s">
        <v>88</v>
      </c>
      <c r="B94" s="32">
        <v>5005280</v>
      </c>
    </row>
    <row r="95" spans="1:2">
      <c r="A95" s="33" t="s">
        <v>198</v>
      </c>
    </row>
    <row r="96" spans="1:2">
      <c r="A96" s="33" t="s">
        <v>89</v>
      </c>
      <c r="B96" s="32">
        <v>5005310</v>
      </c>
    </row>
    <row r="97" spans="1:2">
      <c r="A97" s="33" t="s">
        <v>90</v>
      </c>
      <c r="B97" s="32">
        <v>5005370</v>
      </c>
    </row>
    <row r="98" spans="1:2">
      <c r="A98" s="33" t="s">
        <v>91</v>
      </c>
      <c r="B98" s="32">
        <v>5005400</v>
      </c>
    </row>
    <row r="99" spans="1:2">
      <c r="A99" s="33" t="s">
        <v>93</v>
      </c>
      <c r="B99" s="32">
        <v>5005550</v>
      </c>
    </row>
    <row r="100" spans="1:2">
      <c r="A100" s="33" t="s">
        <v>94</v>
      </c>
      <c r="B100" s="32">
        <v>5005580</v>
      </c>
    </row>
    <row r="101" spans="1:2">
      <c r="A101" s="33" t="s">
        <v>95</v>
      </c>
      <c r="B101" s="32">
        <v>5005610</v>
      </c>
    </row>
    <row r="102" spans="1:2">
      <c r="A102" s="33" t="s">
        <v>263</v>
      </c>
      <c r="B102" s="32">
        <v>5005620</v>
      </c>
    </row>
    <row r="103" spans="1:2">
      <c r="A103" s="33" t="s">
        <v>96</v>
      </c>
      <c r="B103" s="32">
        <v>5005640</v>
      </c>
    </row>
    <row r="104" spans="1:2">
      <c r="A104" s="33" t="s">
        <v>97</v>
      </c>
      <c r="B104" s="32">
        <v>5005670</v>
      </c>
    </row>
    <row r="105" spans="1:2">
      <c r="A105" s="33" t="s">
        <v>98</v>
      </c>
      <c r="B105" s="32">
        <v>5005700</v>
      </c>
    </row>
    <row r="106" spans="1:2">
      <c r="A106" s="33" t="s">
        <v>291</v>
      </c>
      <c r="B106" s="32">
        <v>5000386</v>
      </c>
    </row>
    <row r="107" spans="1:2">
      <c r="A107" s="33" t="s">
        <v>258</v>
      </c>
      <c r="B107" s="32">
        <v>5008235</v>
      </c>
    </row>
    <row r="108" spans="1:2">
      <c r="A108" s="33" t="s">
        <v>227</v>
      </c>
      <c r="B108" s="32">
        <v>5005810</v>
      </c>
    </row>
    <row r="109" spans="1:2">
      <c r="A109" s="33" t="s">
        <v>101</v>
      </c>
      <c r="B109" s="32">
        <v>5005820</v>
      </c>
    </row>
    <row r="110" spans="1:2">
      <c r="A110" s="33" t="s">
        <v>343</v>
      </c>
    </row>
    <row r="111" spans="1:2">
      <c r="A111" s="33" t="s">
        <v>102</v>
      </c>
      <c r="B111" s="32">
        <v>5005880</v>
      </c>
    </row>
    <row r="112" spans="1:2">
      <c r="A112" s="33" t="s">
        <v>103</v>
      </c>
      <c r="B112" s="32">
        <v>5005910</v>
      </c>
    </row>
    <row r="113" spans="1:3">
      <c r="A113" s="33" t="s">
        <v>105</v>
      </c>
    </row>
    <row r="114" spans="1:3">
      <c r="A114" s="33" t="s">
        <v>104</v>
      </c>
      <c r="B114" s="32">
        <v>5005940</v>
      </c>
    </row>
    <row r="115" spans="1:3">
      <c r="A115" s="33" t="s">
        <v>106</v>
      </c>
      <c r="B115" s="32">
        <v>5006000</v>
      </c>
    </row>
    <row r="116" spans="1:3">
      <c r="A116" s="33" t="s">
        <v>107</v>
      </c>
      <c r="B116" s="32">
        <v>5006030</v>
      </c>
    </row>
    <row r="117" spans="1:3">
      <c r="A117" s="33" t="s">
        <v>226</v>
      </c>
      <c r="B117" s="32">
        <v>5009600</v>
      </c>
      <c r="C117" s="32"/>
    </row>
    <row r="118" spans="1:3">
      <c r="A118" s="33" t="s">
        <v>109</v>
      </c>
      <c r="B118" s="32">
        <v>5006090</v>
      </c>
    </row>
    <row r="119" spans="1:3">
      <c r="A119" s="33" t="s">
        <v>110</v>
      </c>
      <c r="B119" s="32">
        <v>5006120</v>
      </c>
    </row>
    <row r="120" spans="1:3">
      <c r="A120" s="33" t="s">
        <v>111</v>
      </c>
      <c r="B120" s="32">
        <v>5006180</v>
      </c>
    </row>
    <row r="121" spans="1:3">
      <c r="A121" s="33" t="s">
        <v>249</v>
      </c>
      <c r="B121" s="32">
        <v>5099927</v>
      </c>
    </row>
    <row r="122" spans="1:3">
      <c r="A122" s="33" t="s">
        <v>281</v>
      </c>
      <c r="B122" s="32">
        <v>5099929</v>
      </c>
    </row>
    <row r="123" spans="1:3">
      <c r="A123" s="33" t="s">
        <v>112</v>
      </c>
      <c r="B123" s="32">
        <v>5006210</v>
      </c>
    </row>
    <row r="124" spans="1:3">
      <c r="A124" s="33" t="s">
        <v>217</v>
      </c>
      <c r="B124" s="32">
        <v>5099934</v>
      </c>
    </row>
    <row r="125" spans="1:3">
      <c r="A125" s="33" t="s">
        <v>259</v>
      </c>
    </row>
    <row r="126" spans="1:3">
      <c r="A126" s="33" t="s">
        <v>113</v>
      </c>
      <c r="B126" s="32">
        <v>5006240</v>
      </c>
    </row>
    <row r="127" spans="1:3">
      <c r="A127" s="33" t="s">
        <v>254</v>
      </c>
      <c r="B127" s="32">
        <v>5099935</v>
      </c>
    </row>
    <row r="128" spans="1:3">
      <c r="A128" s="33" t="s">
        <v>114</v>
      </c>
      <c r="B128" s="32">
        <v>5006270</v>
      </c>
    </row>
    <row r="129" spans="1:2">
      <c r="A129" s="33" t="s">
        <v>271</v>
      </c>
      <c r="B129" s="32">
        <v>5008247</v>
      </c>
    </row>
    <row r="130" spans="1:2">
      <c r="A130" s="33" t="s">
        <v>116</v>
      </c>
      <c r="B130" s="32">
        <v>5006390</v>
      </c>
    </row>
    <row r="131" spans="1:2">
      <c r="A131" s="33" t="s">
        <v>119</v>
      </c>
      <c r="B131" s="32">
        <v>5006600</v>
      </c>
    </row>
    <row r="132" spans="1:2">
      <c r="A132" s="33" t="s">
        <v>120</v>
      </c>
      <c r="B132" s="32">
        <v>5006630</v>
      </c>
    </row>
    <row r="133" spans="1:2">
      <c r="A133" s="33" t="s">
        <v>121</v>
      </c>
      <c r="B133" s="32">
        <v>5006660</v>
      </c>
    </row>
    <row r="134" spans="1:2">
      <c r="A134" s="33" t="s">
        <v>122</v>
      </c>
      <c r="B134" s="32">
        <v>5006690</v>
      </c>
    </row>
    <row r="135" spans="1:2">
      <c r="A135" s="33" t="s">
        <v>124</v>
      </c>
      <c r="B135" s="32">
        <v>5006750</v>
      </c>
    </row>
    <row r="136" spans="1:2">
      <c r="A136" s="33" t="s">
        <v>125</v>
      </c>
      <c r="B136" s="32">
        <v>5006780</v>
      </c>
    </row>
    <row r="137" spans="1:2">
      <c r="A137" s="33" t="s">
        <v>126</v>
      </c>
      <c r="B137" s="32">
        <v>5006810</v>
      </c>
    </row>
    <row r="138" spans="1:2">
      <c r="A138" s="33" t="s">
        <v>286</v>
      </c>
      <c r="B138" s="32">
        <v>5000024</v>
      </c>
    </row>
    <row r="139" spans="1:2">
      <c r="A139" s="33" t="s">
        <v>290</v>
      </c>
      <c r="B139" s="32">
        <v>5000371</v>
      </c>
    </row>
    <row r="140" spans="1:2">
      <c r="A140" s="33" t="s">
        <v>129</v>
      </c>
      <c r="B140" s="32">
        <v>5006900</v>
      </c>
    </row>
    <row r="141" spans="1:2">
      <c r="A141" s="33" t="s">
        <v>130</v>
      </c>
      <c r="B141" s="32">
        <v>5006930</v>
      </c>
    </row>
    <row r="142" spans="1:2">
      <c r="A142" s="33" t="s">
        <v>131</v>
      </c>
      <c r="B142" s="32">
        <v>5006960</v>
      </c>
    </row>
    <row r="143" spans="1:2">
      <c r="A143" s="33" t="s">
        <v>132</v>
      </c>
      <c r="B143" s="32">
        <v>5006990</v>
      </c>
    </row>
    <row r="144" spans="1:2">
      <c r="A144" s="33" t="s">
        <v>230</v>
      </c>
      <c r="B144" s="32">
        <v>5099937</v>
      </c>
    </row>
    <row r="145" spans="1:2">
      <c r="A145" s="33" t="s">
        <v>133</v>
      </c>
      <c r="B145" s="32">
        <v>5007050</v>
      </c>
    </row>
    <row r="146" spans="1:2">
      <c r="A146" s="33" t="s">
        <v>205</v>
      </c>
      <c r="B146" s="32">
        <v>5099936</v>
      </c>
    </row>
    <row r="147" spans="1:2">
      <c r="A147" s="33" t="s">
        <v>206</v>
      </c>
      <c r="B147" s="32">
        <v>5099938</v>
      </c>
    </row>
    <row r="148" spans="1:2">
      <c r="A148" s="33" t="s">
        <v>134</v>
      </c>
      <c r="B148" s="32">
        <v>5007080</v>
      </c>
    </row>
    <row r="149" spans="1:2">
      <c r="A149" s="33" t="s">
        <v>139</v>
      </c>
      <c r="B149" s="32">
        <v>5007230</v>
      </c>
    </row>
    <row r="150" spans="1:2">
      <c r="A150" s="33" t="s">
        <v>140</v>
      </c>
      <c r="B150" s="32">
        <v>5007260</v>
      </c>
    </row>
    <row r="151" spans="1:2">
      <c r="A151" s="33" t="s">
        <v>142</v>
      </c>
      <c r="B151" s="32">
        <v>5007350</v>
      </c>
    </row>
    <row r="152" spans="1:2">
      <c r="A152" s="33" t="s">
        <v>143</v>
      </c>
      <c r="B152" s="32">
        <v>5007380</v>
      </c>
    </row>
    <row r="153" spans="1:2">
      <c r="A153" s="33" t="s">
        <v>146</v>
      </c>
      <c r="B153" s="32">
        <v>5007470</v>
      </c>
    </row>
    <row r="154" spans="1:2">
      <c r="A154" s="33" t="s">
        <v>147</v>
      </c>
      <c r="B154" s="32">
        <v>5007500</v>
      </c>
    </row>
    <row r="155" spans="1:2">
      <c r="A155" s="33" t="s">
        <v>288</v>
      </c>
      <c r="B155" s="32">
        <v>5000022</v>
      </c>
    </row>
    <row r="156" spans="1:2">
      <c r="A156" s="33" t="s">
        <v>266</v>
      </c>
      <c r="B156" s="32">
        <v>5099905</v>
      </c>
    </row>
    <row r="157" spans="1:2">
      <c r="A157" s="33" t="s">
        <v>267</v>
      </c>
      <c r="B157" s="32">
        <v>5000434</v>
      </c>
    </row>
    <row r="158" spans="1:2">
      <c r="A158" s="33" t="s">
        <v>284</v>
      </c>
      <c r="B158" s="32">
        <v>5000002</v>
      </c>
    </row>
    <row r="159" spans="1:2">
      <c r="A159" s="33" t="s">
        <v>148</v>
      </c>
      <c r="B159" s="32">
        <v>5007530</v>
      </c>
    </row>
    <row r="160" spans="1:2">
      <c r="A160" s="33" t="s">
        <v>137</v>
      </c>
      <c r="B160" s="32">
        <v>5007650</v>
      </c>
    </row>
    <row r="161" spans="1:2">
      <c r="A161" s="33" t="s">
        <v>149</v>
      </c>
      <c r="B161" s="32">
        <v>5007680</v>
      </c>
    </row>
    <row r="162" spans="1:2">
      <c r="A162" s="33" t="s">
        <v>150</v>
      </c>
      <c r="B162" s="32">
        <v>5007740</v>
      </c>
    </row>
    <row r="163" spans="1:2">
      <c r="A163" s="33" t="s">
        <v>269</v>
      </c>
      <c r="B163" s="32">
        <v>5007770</v>
      </c>
    </row>
    <row r="164" spans="1:2">
      <c r="A164" s="33" t="s">
        <v>151</v>
      </c>
      <c r="B164" s="32">
        <v>5007800</v>
      </c>
    </row>
    <row r="165" spans="1:2">
      <c r="A165" s="33" t="s">
        <v>152</v>
      </c>
      <c r="B165" s="32">
        <v>5007830</v>
      </c>
    </row>
    <row r="166" spans="1:2">
      <c r="A166" s="33" t="s">
        <v>154</v>
      </c>
      <c r="B166" s="32">
        <v>5007920</v>
      </c>
    </row>
    <row r="167" spans="1:2">
      <c r="A167" s="33" t="s">
        <v>155</v>
      </c>
      <c r="B167" s="32">
        <v>5007950</v>
      </c>
    </row>
    <row r="168" spans="1:2">
      <c r="A168" s="33" t="s">
        <v>156</v>
      </c>
      <c r="B168" s="32">
        <v>5007980</v>
      </c>
    </row>
    <row r="169" spans="1:2">
      <c r="A169" s="33" t="s">
        <v>157</v>
      </c>
      <c r="B169" s="32">
        <v>5008010</v>
      </c>
    </row>
    <row r="170" spans="1:2">
      <c r="A170" s="33" t="s">
        <v>159</v>
      </c>
      <c r="B170" s="32">
        <v>5008100</v>
      </c>
    </row>
    <row r="171" spans="1:2">
      <c r="A171" s="33" t="s">
        <v>160</v>
      </c>
      <c r="B171" s="32">
        <v>5008130</v>
      </c>
    </row>
    <row r="172" spans="1:2">
      <c r="A172" s="33" t="s">
        <v>161</v>
      </c>
      <c r="B172" s="32">
        <v>5008160</v>
      </c>
    </row>
    <row r="173" spans="1:2">
      <c r="A173" s="33" t="s">
        <v>224</v>
      </c>
      <c r="B173" s="32">
        <v>5008225</v>
      </c>
    </row>
    <row r="174" spans="1:2">
      <c r="A174" s="33" t="s">
        <v>251</v>
      </c>
      <c r="B174" s="32">
        <v>5000385</v>
      </c>
    </row>
    <row r="175" spans="1:2">
      <c r="A175" s="33" t="s">
        <v>244</v>
      </c>
    </row>
    <row r="176" spans="1:2">
      <c r="A176" s="33" t="s">
        <v>268</v>
      </c>
    </row>
    <row r="177" spans="1:2">
      <c r="A177" s="33" t="s">
        <v>257</v>
      </c>
    </row>
    <row r="178" spans="1:2">
      <c r="A178" s="33" t="s">
        <v>272</v>
      </c>
      <c r="B178" s="32">
        <v>5008237</v>
      </c>
    </row>
    <row r="179" spans="1:2">
      <c r="A179" s="33" t="s">
        <v>274</v>
      </c>
    </row>
    <row r="180" spans="1:2">
      <c r="A180" s="33" t="s">
        <v>273</v>
      </c>
    </row>
    <row r="181" spans="1:2">
      <c r="A181" s="33" t="s">
        <v>278</v>
      </c>
    </row>
    <row r="182" spans="1:2">
      <c r="A182" s="33" t="s">
        <v>280</v>
      </c>
    </row>
    <row r="183" spans="1:2">
      <c r="A183" s="33" t="s">
        <v>115</v>
      </c>
      <c r="B183" s="32">
        <v>5000009</v>
      </c>
    </row>
    <row r="184" spans="1:2">
      <c r="A184" s="33" t="s">
        <v>213</v>
      </c>
    </row>
    <row r="185" spans="1:2">
      <c r="A185" s="33" t="s">
        <v>165</v>
      </c>
      <c r="B185" s="32">
        <v>5008310</v>
      </c>
    </row>
    <row r="186" spans="1:2">
      <c r="A186" s="33" t="s">
        <v>167</v>
      </c>
      <c r="B186" s="32">
        <v>5008430</v>
      </c>
    </row>
    <row r="187" spans="1:2">
      <c r="A187" s="33" t="s">
        <v>169</v>
      </c>
      <c r="B187" s="32">
        <v>5008520</v>
      </c>
    </row>
    <row r="188" spans="1:2">
      <c r="A188" s="33" t="s">
        <v>275</v>
      </c>
      <c r="B188" s="32">
        <v>5099932</v>
      </c>
    </row>
    <row r="189" spans="1:2">
      <c r="A189" s="33" t="s">
        <v>211</v>
      </c>
      <c r="B189" s="32">
        <v>5099941</v>
      </c>
    </row>
    <row r="190" spans="1:2">
      <c r="A190" s="33" t="s">
        <v>171</v>
      </c>
      <c r="B190" s="32">
        <v>5008580</v>
      </c>
    </row>
    <row r="191" spans="1:2">
      <c r="A191" s="33" t="s">
        <v>245</v>
      </c>
      <c r="B191" s="32">
        <v>5099943</v>
      </c>
    </row>
    <row r="192" spans="1:2">
      <c r="A192" s="33" t="s">
        <v>173</v>
      </c>
      <c r="B192" s="32">
        <v>5008640</v>
      </c>
    </row>
    <row r="193" spans="1:2">
      <c r="A193" s="33" t="s">
        <v>175</v>
      </c>
      <c r="B193" s="32">
        <v>5008700</v>
      </c>
    </row>
    <row r="194" spans="1:2">
      <c r="A194" s="33" t="s">
        <v>176</v>
      </c>
      <c r="B194" s="32">
        <v>5008760</v>
      </c>
    </row>
    <row r="195" spans="1:2">
      <c r="A195" s="33" t="s">
        <v>177</v>
      </c>
      <c r="B195" s="32">
        <v>5008850</v>
      </c>
    </row>
    <row r="196" spans="1:2">
      <c r="A196" s="33" t="s">
        <v>178</v>
      </c>
      <c r="B196" s="32">
        <v>5008880</v>
      </c>
    </row>
    <row r="197" spans="1:2">
      <c r="A197" s="33" t="s">
        <v>180</v>
      </c>
      <c r="B197" s="32">
        <v>5008970</v>
      </c>
    </row>
    <row r="198" spans="1:2">
      <c r="A198" s="33" t="s">
        <v>185</v>
      </c>
    </row>
    <row r="199" spans="1:2">
      <c r="A199" s="33" t="s">
        <v>184</v>
      </c>
    </row>
    <row r="200" spans="1:2">
      <c r="A200" s="33" t="s">
        <v>276</v>
      </c>
      <c r="B200" s="32">
        <v>5099946</v>
      </c>
    </row>
    <row r="201" spans="1:2">
      <c r="A201" s="33" t="s">
        <v>270</v>
      </c>
      <c r="B201" s="32">
        <v>5099947</v>
      </c>
    </row>
    <row r="202" spans="1:2">
      <c r="A202" s="33" t="s">
        <v>188</v>
      </c>
      <c r="B202" s="32">
        <v>5009270</v>
      </c>
    </row>
    <row r="203" spans="1:2">
      <c r="A203" s="33" t="s">
        <v>233</v>
      </c>
      <c r="B203" s="32">
        <v>5099948</v>
      </c>
    </row>
    <row r="204" spans="1:2">
      <c r="A204" s="33" t="s">
        <v>277</v>
      </c>
      <c r="B204" s="32">
        <v>5099949</v>
      </c>
    </row>
    <row r="205" spans="1:2">
      <c r="A205" s="33" t="s">
        <v>236</v>
      </c>
      <c r="B205" s="32">
        <v>5000428</v>
      </c>
    </row>
    <row r="206" spans="1:2">
      <c r="A206" s="33" t="s">
        <v>189</v>
      </c>
      <c r="B206" s="32">
        <v>5009300</v>
      </c>
    </row>
    <row r="207" spans="1:2">
      <c r="A207" s="33" t="s">
        <v>260</v>
      </c>
      <c r="B207" s="32">
        <v>5099952</v>
      </c>
    </row>
    <row r="208" spans="1:2">
      <c r="A208" s="33" t="s">
        <v>190</v>
      </c>
      <c r="B208" s="32">
        <v>5009360</v>
      </c>
    </row>
    <row r="209" spans="1:2">
      <c r="A209" s="33" t="s">
        <v>191</v>
      </c>
      <c r="B209" s="32">
        <v>5009390</v>
      </c>
    </row>
    <row r="210" spans="1:2">
      <c r="A210" s="33" t="s">
        <v>192</v>
      </c>
      <c r="B210" s="32">
        <v>5009420</v>
      </c>
    </row>
    <row r="211" spans="1:2">
      <c r="A211" s="33" t="s">
        <v>193</v>
      </c>
      <c r="B211" s="32">
        <v>5009450</v>
      </c>
    </row>
    <row r="212" spans="1:2">
      <c r="A212" s="33" t="s">
        <v>194</v>
      </c>
      <c r="B212" s="32">
        <v>5009480</v>
      </c>
    </row>
    <row r="213" spans="1:2">
      <c r="A213" s="33" t="s">
        <v>220</v>
      </c>
      <c r="B213" s="32">
        <v>5009510</v>
      </c>
    </row>
    <row r="214" spans="1:2">
      <c r="A214" s="33" t="s">
        <v>195</v>
      </c>
      <c r="B214" s="32">
        <v>5009540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GASB 68 Data --&gt;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NCES Data --&gt;</vt:lpstr>
      <vt:lpstr>Combining LEAID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2025-02-14T07:48:51Z</dcterms:created>
  <dcterms:modified xsi:type="dcterms:W3CDTF">2025-02-14T23:42:52Z</dcterms:modified>
</cp:coreProperties>
</file>